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2" i="1"/>
  <c r="I3" i="1"/>
  <c r="I4" i="1"/>
  <c r="I5" i="1"/>
  <c r="I6" i="1"/>
  <c r="I2" i="1"/>
</calcChain>
</file>

<file path=xl/sharedStrings.xml><?xml version="1.0" encoding="utf-8"?>
<sst xmlns="http://schemas.openxmlformats.org/spreadsheetml/2006/main" count="107" uniqueCount="92">
  <si>
    <t>評估通道</t>
  </si>
  <si>
    <t>通道自身耗時</t>
  </si>
  <si>
    <t>總管線耗時</t>
  </si>
  <si>
    <t>時間預算比</t>
  </si>
  <si>
    <t>處理詞數</t>
  </si>
  <si>
    <t>命中/可用數</t>
  </si>
  <si>
    <t>有效準確率</t>
  </si>
  <si>
    <t>01.mkv</t>
  </si>
  <si>
    <t>Channel 1 - Komoran</t>
  </si>
  <si>
    <t>12.2s</t>
  </si>
  <si>
    <t>460.7s</t>
  </si>
  <si>
    <t>Channel 1 - Mecab</t>
  </si>
  <si>
    <t>8.9s</t>
  </si>
  <si>
    <t>457.4s</t>
  </si>
  <si>
    <t>Channel 1 - Okt</t>
  </si>
  <si>
    <t>6.0s</t>
  </si>
  <si>
    <t>454.5s</t>
  </si>
  <si>
    <t>Channel 2 (純 LLM)</t>
  </si>
  <si>
    <t>544.3s</t>
  </si>
  <si>
    <t>992.8s</t>
  </si>
  <si>
    <t>Channel 3 (混合)</t>
  </si>
  <si>
    <t>70.3s</t>
  </si>
  <si>
    <t>518.7s</t>
  </si>
  <si>
    <t>02.mp4</t>
  </si>
  <si>
    <t>40.6s</t>
  </si>
  <si>
    <t>801.1s</t>
  </si>
  <si>
    <t>31.4s</t>
  </si>
  <si>
    <t>792.0s</t>
  </si>
  <si>
    <t>22.5s</t>
  </si>
  <si>
    <t>783.1s</t>
  </si>
  <si>
    <t>1851.7s</t>
  </si>
  <si>
    <t>2612.3s</t>
  </si>
  <si>
    <t>222.7s</t>
  </si>
  <si>
    <t>983.2s</t>
  </si>
  <si>
    <t>A</t>
    <phoneticPr fontId="1" type="noConversion"/>
  </si>
  <si>
    <t>A</t>
    <phoneticPr fontId="1" type="noConversion"/>
  </si>
  <si>
    <t>B</t>
    <phoneticPr fontId="1" type="noConversion"/>
  </si>
  <si>
    <t>斷詞引擎</t>
  </si>
  <si>
    <t>底層技術實現</t>
  </si>
  <si>
    <t>01.mkv 命中率</t>
  </si>
  <si>
    <t>02.mp4 命中率</t>
  </si>
  <si>
    <t>本次加權命中率</t>
  </si>
  <si>
    <t>歷史10片加權命中率</t>
  </si>
  <si>
    <t>平均自身耗時</t>
  </si>
  <si>
    <t>綜合排名</t>
  </si>
  <si>
    <t>Komoran</t>
  </si>
  <si>
    <t>Java (純規則/詞典)</t>
  </si>
  <si>
    <t>26.4s</t>
  </si>
  <si>
    <t>Kkma</t>
  </si>
  <si>
    <t>Java (語素細緻化)</t>
  </si>
  <si>
    <t>25.2s</t>
  </si>
  <si>
    <t>🥈 第二名</t>
  </si>
  <si>
    <t>Mecab-ko</t>
  </si>
  <si>
    <t>C++ 獨立原生庫</t>
  </si>
  <si>
    <t>20.1s</t>
  </si>
  <si>
    <t>🥉 第三名 (速度最快)</t>
  </si>
  <si>
    <t>Okt</t>
  </si>
  <si>
    <t>Java (Twitter語料)</t>
  </si>
  <si>
    <t>14.3s</t>
  </si>
  <si>
    <t>❌ 第四名 (墊底)</t>
  </si>
  <si>
    <t>斷詞細節發現：Okt 之所以命中率最低，係因其內部機制傾向不將動詞/形容詞切分「語幹」與「語尾」，導致字典查無變化後的詞形；而 Komoran 具備極強的語素切分與模糊名詞預設策略，與權威字典原形庫契合度最高。</t>
  </si>
  <si>
    <t>測試資料集</t>
  </si>
  <si>
    <t>Mecab 基準命中率</t>
  </si>
  <si>
    <t>Channel 3 命中率</t>
  </si>
  <si>
    <t>命中率邊際增益</t>
  </si>
  <si>
    <t>Fallback 總呼叫</t>
  </si>
  <si>
    <t>成功挽救次數</t>
  </si>
  <si>
    <t>挽救成功率</t>
  </si>
  <si>
    <t>通道耗時膨脹倍數</t>
  </si>
  <si>
    <t>+0.23 pp</t>
  </si>
  <si>
    <t>183 次</t>
  </si>
  <si>
    <t>2 次</t>
  </si>
  <si>
    <t>+0.55 pp</t>
  </si>
  <si>
    <t>543 次</t>
  </si>
  <si>
    <t>17 次</t>
  </si>
  <si>
    <t>歷史 10 支影片</t>
  </si>
  <si>
    <t>+0.50 pp</t>
  </si>
  <si>
    <t>2,930 次</t>
  </si>
  <si>
    <t>50 次</t>
  </si>
  <si>
    <t>額外浪費 912 秒</t>
  </si>
  <si>
    <t>🥇 第一名 (雙料冠軍)</t>
  </si>
  <si>
    <r>
      <t>7.92 倍 (8.9s </t>
    </r>
    <r>
      <rPr>
        <sz val="13.3"/>
        <rFont val="Times New Roman"/>
        <family val="1"/>
      </rPr>
      <t>→→</t>
    </r>
    <r>
      <rPr>
        <sz val="8"/>
        <rFont val="Segoe UI"/>
        <family val="2"/>
      </rPr>
      <t> 70.3s)</t>
    </r>
  </si>
  <si>
    <r>
      <t>7.09 倍 (31.4s </t>
    </r>
    <r>
      <rPr>
        <sz val="13.3"/>
        <rFont val="Times New Roman"/>
        <family val="1"/>
      </rPr>
      <t>→→</t>
    </r>
    <r>
      <rPr>
        <sz val="8"/>
        <rFont val="Segoe UI"/>
        <family val="2"/>
      </rPr>
      <t> 222.7s)</t>
    </r>
  </si>
  <si>
    <t>平均時間預算比</t>
    <phoneticPr fontId="1" type="noConversion"/>
  </si>
  <si>
    <t>B</t>
    <phoneticPr fontId="1" type="noConversion"/>
  </si>
  <si>
    <t>平均</t>
    <phoneticPr fontId="1" type="noConversion"/>
  </si>
  <si>
    <r>
      <rPr>
        <b/>
        <sz val="11"/>
        <color theme="1"/>
        <rFont val="細明體"/>
        <family val="3"/>
        <charset val="136"/>
      </rPr>
      <t>閾值</t>
    </r>
    <r>
      <rPr>
        <b/>
        <sz val="11"/>
        <color theme="1"/>
        <rFont val="Arial"/>
        <family val="2"/>
      </rPr>
      <t xml:space="preserve"> Y=1.0</t>
    </r>
    <phoneticPr fontId="1" type="noConversion"/>
  </si>
  <si>
    <t>欄位 A（通道名稱）</t>
  </si>
  <si>
    <t>欄位 B：X 軸 (Cost)平均時間預算比</t>
  </si>
  <si>
    <t>欄位 C：Y 軸 (Benefit)平均有效準確率 (%)</t>
  </si>
  <si>
    <t>欄位 D：氣泡大小 (Weight)總命中數（或平均命中數）</t>
  </si>
  <si>
    <t>Channel 2 (LLM)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</si>
</sst>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name val="Segoe UI"/>
      <family val="2"/>
    </font>
    <font>
      <sz val="8"/>
      <color rgb="FFFF0000"/>
      <name val="Segoe UI"/>
      <family val="2"/>
    </font>
    <font>
      <sz val="11"/>
      <name val="新細明體"/>
      <family val="2"/>
      <scheme val="minor"/>
    </font>
    <font>
      <sz val="13.3"/>
      <name val="Times New Roman"/>
      <family val="1"/>
    </font>
    <font>
      <sz val="8"/>
      <color rgb="FF00B050"/>
      <name val="Segoe UI"/>
      <family val="2"/>
    </font>
    <font>
      <sz val="8"/>
      <name val="細明體"/>
      <family val="3"/>
      <charset val="136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0" fillId="0" borderId="0" xfId="0" applyFont="1"/>
    <xf numFmtId="10" fontId="6" fillId="0" borderId="0" xfId="0" applyNumberFormat="1" applyFont="1" applyAlignment="1">
      <alignment horizontal="center" vertical="center" wrapText="1"/>
    </xf>
    <xf numFmtId="0" fontId="2" fillId="0" borderId="0" xfId="0" applyFont="1"/>
    <xf numFmtId="10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7D31"/>
      <color rgb="FFBF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SLA </a:t>
            </a:r>
            <a:r>
              <a:rPr lang="zh-TW" altLang="en-US" sz="1400" b="0" i="0" u="none" strike="noStrike" baseline="0"/>
              <a:t>合規性分佈圖 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工作表1!$K$1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BA-4450-BD3A-9BDFD378E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工作表1!$J$2:$J$6</c:f>
              <c:strCache>
                <c:ptCount val="5"/>
                <c:pt idx="0">
                  <c:v>Channel 1 - Komoran</c:v>
                </c:pt>
                <c:pt idx="1">
                  <c:v>Channel 1 - Mecab</c:v>
                </c:pt>
                <c:pt idx="2">
                  <c:v>Channel 1 - Okt</c:v>
                </c:pt>
                <c:pt idx="3">
                  <c:v>Channel 2 (純 LLM)</c:v>
                </c:pt>
                <c:pt idx="4">
                  <c:v>Channel 3 (混合)</c:v>
                </c:pt>
              </c:strCache>
            </c:strRef>
          </c:cat>
          <c:val>
            <c:numRef>
              <c:f>工作表1!$K$2:$K$6</c:f>
              <c:numCache>
                <c:formatCode>General</c:formatCode>
                <c:ptCount val="5"/>
                <c:pt idx="0">
                  <c:v>0.63</c:v>
                </c:pt>
                <c:pt idx="1">
                  <c:v>0.63</c:v>
                </c:pt>
                <c:pt idx="2">
                  <c:v>0.62</c:v>
                </c:pt>
                <c:pt idx="3">
                  <c:v>1.36</c:v>
                </c:pt>
                <c:pt idx="4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A-4450-BD3A-9BDFD378E6B8}"/>
            </c:ext>
          </c:extLst>
        </c:ser>
        <c:ser>
          <c:idx val="1"/>
          <c:order val="1"/>
          <c:tx>
            <c:strRef>
              <c:f>工作表1!$L$1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BA-4450-BD3A-9BDFD378E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工作表1!$J$2:$J$6</c:f>
              <c:strCache>
                <c:ptCount val="5"/>
                <c:pt idx="0">
                  <c:v>Channel 1 - Komoran</c:v>
                </c:pt>
                <c:pt idx="1">
                  <c:v>Channel 1 - Mecab</c:v>
                </c:pt>
                <c:pt idx="2">
                  <c:v>Channel 1 - Okt</c:v>
                </c:pt>
                <c:pt idx="3">
                  <c:v>Channel 2 (純 LLM)</c:v>
                </c:pt>
                <c:pt idx="4">
                  <c:v>Channel 3 (混合)</c:v>
                </c:pt>
              </c:strCache>
            </c:strRef>
          </c:cat>
          <c:val>
            <c:numRef>
              <c:f>工作表1!$L$2:$L$6</c:f>
              <c:numCache>
                <c:formatCode>General</c:formatCode>
                <c:ptCount val="5"/>
                <c:pt idx="0">
                  <c:v>0.71</c:v>
                </c:pt>
                <c:pt idx="1">
                  <c:v>0.71</c:v>
                </c:pt>
                <c:pt idx="2">
                  <c:v>0.7</c:v>
                </c:pt>
                <c:pt idx="3">
                  <c:v>2.33</c:v>
                </c:pt>
                <c:pt idx="4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A-4450-BD3A-9BDFD378E6B8}"/>
            </c:ext>
          </c:extLst>
        </c:ser>
        <c:ser>
          <c:idx val="2"/>
          <c:order val="2"/>
          <c:tx>
            <c:strRef>
              <c:f>工作表1!$M$1</c:f>
              <c:strCache>
                <c:ptCount val="1"/>
                <c:pt idx="0">
                  <c:v>平均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BA-4450-BD3A-9BDFD378E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工作表1!$J$2:$J$6</c:f>
              <c:strCache>
                <c:ptCount val="5"/>
                <c:pt idx="0">
                  <c:v>Channel 1 - Komoran</c:v>
                </c:pt>
                <c:pt idx="1">
                  <c:v>Channel 1 - Mecab</c:v>
                </c:pt>
                <c:pt idx="2">
                  <c:v>Channel 1 - Okt</c:v>
                </c:pt>
                <c:pt idx="3">
                  <c:v>Channel 2 (純 LLM)</c:v>
                </c:pt>
                <c:pt idx="4">
                  <c:v>Channel 3 (混合)</c:v>
                </c:pt>
              </c:strCache>
            </c:strRef>
          </c:cat>
          <c:val>
            <c:numRef>
              <c:f>工作表1!$M$2:$M$6</c:f>
              <c:numCache>
                <c:formatCode>General</c:formatCode>
                <c:ptCount val="5"/>
                <c:pt idx="0">
                  <c:v>0.66999999999999993</c:v>
                </c:pt>
                <c:pt idx="1">
                  <c:v>0.66999999999999993</c:v>
                </c:pt>
                <c:pt idx="2">
                  <c:v>0.65999999999999992</c:v>
                </c:pt>
                <c:pt idx="3">
                  <c:v>1.8450000000000002</c:v>
                </c:pt>
                <c:pt idx="4">
                  <c:v>0.79499999999999993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A-4450-BD3A-9BDFD378E6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76516920"/>
        <c:axId val="576517576"/>
      </c:barChart>
      <c:lineChart>
        <c:grouping val="standard"/>
        <c:varyColors val="0"/>
        <c:ser>
          <c:idx val="3"/>
          <c:order val="3"/>
          <c:tx>
            <c:strRef>
              <c:f>工作表1!$N$1</c:f>
              <c:strCache>
                <c:ptCount val="1"/>
                <c:pt idx="0">
                  <c:v>閾值 Y=1.0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prstDash val="dash"/>
                <a:round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BA-4450-BD3A-9BDFD378E6B8}"/>
              </c:ext>
            </c:extLst>
          </c:dPt>
          <c:dLbls>
            <c:delete val="1"/>
          </c:dLbls>
          <c:cat>
            <c:strRef>
              <c:f>工作表1!$J$2:$J$6</c:f>
              <c:strCache>
                <c:ptCount val="5"/>
                <c:pt idx="0">
                  <c:v>Channel 1 - Komoran</c:v>
                </c:pt>
                <c:pt idx="1">
                  <c:v>Channel 1 - Mecab</c:v>
                </c:pt>
                <c:pt idx="2">
                  <c:v>Channel 1 - Okt</c:v>
                </c:pt>
                <c:pt idx="3">
                  <c:v>Channel 2 (純 LLM)</c:v>
                </c:pt>
                <c:pt idx="4">
                  <c:v>Channel 3 (混合)</c:v>
                </c:pt>
              </c:strCache>
            </c:strRef>
          </c:cat>
          <c:val>
            <c:numRef>
              <c:f>工作表1!$N$2:$N$6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BA-4450-BD3A-9BDFD378E6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516920"/>
        <c:axId val="576517576"/>
      </c:lineChart>
      <c:catAx>
        <c:axId val="576516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517576"/>
        <c:crosses val="autoZero"/>
        <c:auto val="1"/>
        <c:lblAlgn val="ctr"/>
        <c:lblOffset val="100"/>
        <c:noMultiLvlLbl val="0"/>
      </c:catAx>
      <c:valAx>
        <c:axId val="57651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51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7648895926361183"/>
          <c:y val="0.12189106903368101"/>
          <c:w val="0.21067787093334195"/>
          <c:h val="0.229327194489370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/>
              <a:t>成本效益帕雷托分析圖 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73922C8B-17B4-4380-B9A4-57988604BF12}" type="CELLRANGE">
                      <a:rPr lang="en-US" altLang="zh-TW"/>
                      <a:pPr/>
                      <a:t>[CELLRANGE]</a:t>
                    </a:fld>
                    <a:r>
                      <a:rPr lang="en-US" altLang="zh-TW" baseline="0"/>
                      <a:t>, </a:t>
                    </a:r>
                    <a:fld id="{D3414B6E-91E3-489C-B741-BE8075A5B83F}" type="YVALUE">
                      <a:rPr lang="en-US" altLang="zh-TW" baseline="0"/>
                      <a:pPr/>
                      <a:t>[Y 值]</a:t>
                    </a:fld>
                    <a:endParaRPr lang="en-US" altLang="zh-TW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A0D-4985-9CA5-BDCDB322092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32CD6AB-734D-4BCF-8357-A901121BB798}" type="CELLRANGE">
                      <a:rPr lang="en-US" altLang="zh-TW"/>
                      <a:pPr/>
                      <a:t>[CELLRANGE]</a:t>
                    </a:fld>
                    <a:r>
                      <a:rPr lang="en-US" altLang="zh-TW" baseline="0"/>
                      <a:t>, </a:t>
                    </a:r>
                    <a:fld id="{176225FE-E2C3-4D5C-AA66-980A5603CCD4}" type="YVALUE">
                      <a:rPr lang="en-US" altLang="zh-TW" baseline="0"/>
                      <a:pPr/>
                      <a:t>[Y 值]</a:t>
                    </a:fld>
                    <a:endParaRPr lang="en-US" altLang="zh-TW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A0D-4985-9CA5-BDCDB322092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1211EA64-AD9A-4F2F-AA0D-1DEBED04D832}" type="CELLRANGE">
                      <a:rPr lang="en-US" altLang="zh-TW"/>
                      <a:pPr/>
                      <a:t>[CELLRANGE]</a:t>
                    </a:fld>
                    <a:r>
                      <a:rPr lang="en-US" altLang="zh-TW" baseline="0"/>
                      <a:t>, </a:t>
                    </a:r>
                    <a:fld id="{6419C49B-9D8F-4C31-997B-D9D5B8C40D37}" type="YVALUE">
                      <a:rPr lang="en-US" altLang="zh-TW" baseline="0"/>
                      <a:pPr/>
                      <a:t>[Y 值]</a:t>
                    </a:fld>
                    <a:endParaRPr lang="en-US" altLang="zh-TW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A0D-4985-9CA5-BDCDB322092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6D371BB-5B35-48D8-BF4F-35C8D20F42B7}" type="CELLRANGE">
                      <a:rPr lang="en-US" altLang="zh-TW"/>
                      <a:pPr/>
                      <a:t>[CELLRANGE]</a:t>
                    </a:fld>
                    <a:r>
                      <a:rPr lang="en-US" altLang="zh-TW" baseline="0"/>
                      <a:t>, </a:t>
                    </a:r>
                    <a:fld id="{608FB344-6BEA-4EAA-A96F-70885FBBFE8A}" type="YVALUE">
                      <a:rPr lang="en-US" altLang="zh-TW" baseline="0"/>
                      <a:pPr/>
                      <a:t>[Y 值]</a:t>
                    </a:fld>
                    <a:endParaRPr lang="en-US" altLang="zh-TW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A0D-4985-9CA5-BDCDB3220925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7E16149D-72B7-4D3C-8BB9-2CDE672B08A2}" type="CELLRANGE">
                      <a:rPr lang="en-US" altLang="zh-TW"/>
                      <a:pPr/>
                      <a:t>[CELLRANGE]</a:t>
                    </a:fld>
                    <a:r>
                      <a:rPr lang="en-US" altLang="zh-TW" baseline="0"/>
                      <a:t>, </a:t>
                    </a:r>
                    <a:fld id="{6140F43B-99A0-43AB-839E-41234A5BB40D}" type="YVALUE">
                      <a:rPr lang="en-US" altLang="zh-TW" baseline="0"/>
                      <a:pPr/>
                      <a:t>[Y 值]</a:t>
                    </a:fld>
                    <a:endParaRPr lang="en-US" altLang="zh-TW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A0D-4985-9CA5-BDCDB32209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工作表1!$K$11:$K$15</c:f>
              <c:numCache>
                <c:formatCode>General</c:formatCode>
                <c:ptCount val="5"/>
                <c:pt idx="0">
                  <c:v>0.67</c:v>
                </c:pt>
                <c:pt idx="1">
                  <c:v>0.67</c:v>
                </c:pt>
                <c:pt idx="2">
                  <c:v>0.66</c:v>
                </c:pt>
                <c:pt idx="3">
                  <c:v>1.845</c:v>
                </c:pt>
                <c:pt idx="4">
                  <c:v>0.79500000000000004</c:v>
                </c:pt>
              </c:numCache>
            </c:numRef>
          </c:xVal>
          <c:yVal>
            <c:numRef>
              <c:f>工作表1!$L$11:$L$15</c:f>
              <c:numCache>
                <c:formatCode>General</c:formatCode>
                <c:ptCount val="5"/>
                <c:pt idx="0">
                  <c:v>84.3</c:v>
                </c:pt>
                <c:pt idx="1">
                  <c:v>80.7</c:v>
                </c:pt>
                <c:pt idx="2">
                  <c:v>74.900000000000006</c:v>
                </c:pt>
                <c:pt idx="3">
                  <c:v>31.1</c:v>
                </c:pt>
                <c:pt idx="4">
                  <c:v>81.099999999999994</c:v>
                </c:pt>
              </c:numCache>
            </c:numRef>
          </c:yVal>
          <c:bubbleSize>
            <c:numRef>
              <c:f>工作表1!$M$11:$M$15</c:f>
              <c:numCache>
                <c:formatCode>General</c:formatCode>
                <c:ptCount val="5"/>
                <c:pt idx="0">
                  <c:v>3713</c:v>
                </c:pt>
                <c:pt idx="1">
                  <c:v>3252</c:v>
                </c:pt>
                <c:pt idx="2">
                  <c:v>2609</c:v>
                </c:pt>
                <c:pt idx="3">
                  <c:v>422</c:v>
                </c:pt>
                <c:pt idx="4">
                  <c:v>3271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工作表1!$J$11:$J$15</c15:f>
                <c15:dlblRangeCache>
                  <c:ptCount val="5"/>
                  <c:pt idx="0">
                    <c:v>Channel 1 - Komoran</c:v>
                  </c:pt>
                  <c:pt idx="1">
                    <c:v>Channel 1 - Mecab</c:v>
                  </c:pt>
                  <c:pt idx="2">
                    <c:v>Channel 1 - Okt</c:v>
                  </c:pt>
                  <c:pt idx="3">
                    <c:v>Channel 2 (LLM)</c:v>
                  </c:pt>
                  <c:pt idx="4">
                    <c:v>Channel 3 (混合)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A0D-4985-9CA5-BDCDB3220925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bubbleScale val="50"/>
        <c:showNegBubbles val="0"/>
        <c:axId val="560050904"/>
        <c:axId val="560049264"/>
      </c:bubbleChart>
      <c:valAx>
        <c:axId val="560050904"/>
        <c:scaling>
          <c:orientation val="minMax"/>
          <c:max val="1.9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/>
                  <a:t>平均時間預算比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049264"/>
        <c:crosses val="autoZero"/>
        <c:crossBetween val="midCat"/>
      </c:valAx>
      <c:valAx>
        <c:axId val="560049264"/>
        <c:scaling>
          <c:orientation val="minMax"/>
          <c:max val="92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/>
                  <a:t>平均有效準確率 </a:t>
                </a:r>
                <a:r>
                  <a:rPr lang="en-US" altLang="zh-TW" sz="1000" b="0" i="0" u="none" strike="noStrike" baseline="0"/>
                  <a:t>(%)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05090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146539</xdr:colOff>
      <xdr:row>0</xdr:row>
      <xdr:rowOff>8793</xdr:rowOff>
    </xdr:from>
    <xdr:to>
      <xdr:col>25</xdr:col>
      <xdr:colOff>23446</xdr:colOff>
      <xdr:row>8</xdr:row>
      <xdr:rowOff>58616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318562</xdr:colOff>
      <xdr:row>9</xdr:row>
      <xdr:rowOff>947402</xdr:rowOff>
    </xdr:from>
    <xdr:to>
      <xdr:col>26</xdr:col>
      <xdr:colOff>89962</xdr:colOff>
      <xdr:row>17</xdr:row>
      <xdr:rowOff>30071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0.39627</cdr:x>
      <cdr:y>0.09492</cdr:y>
    </cdr:from>
    <cdr:to>
      <cdr:x>0.39627</cdr:x>
      <cdr:y>0.87603</cdr:y>
    </cdr:to>
    <cdr:cxnSp macro="">
      <cdr:nvCxnSpPr>
        <cdr:cNvPr id="5" name="直線接點 4" title="X = 1.0"/>
        <cdr:cNvCxnSpPr/>
      </cdr:nvCxnSpPr>
      <cdr:spPr>
        <a:xfrm xmlns:a="http://schemas.openxmlformats.org/drawingml/2006/main" flipH="1" flipV="1">
          <a:off x="2729439" y="437449"/>
          <a:ext cx="0" cy="360000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0.34721</cdr:x>
      <cdr:y>0.89029</cdr:y>
    </cdr:from>
    <cdr:to>
      <cdr:x>0.45174</cdr:x>
      <cdr:y>0.9593</cdr:y>
    </cdr:to>
    <cdr:sp macro="" textlink="">
      <cdr:nvSpPr>
        <cdr:cNvPr id="6" name="文字方塊 5"/>
        <cdr:cNvSpPr txBox="1"/>
      </cdr:nvSpPr>
      <cdr:spPr>
        <a:xfrm xmlns:a="http://schemas.openxmlformats.org/drawingml/2006/main">
          <a:off x="2391509" y="4103208"/>
          <a:ext cx="720000" cy="318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altLang="zh-TW" sz="1100">
              <a:solidFill>
                <a:srgbClr val="FF0000"/>
              </a:solidFill>
            </a:rPr>
            <a:t>X = 1.0</a:t>
          </a:r>
          <a:endParaRPr lang="zh-TW" altLang="en-US" sz="11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E6" zoomScale="115" zoomScaleNormal="115" workbookViewId="0">
      <selection activeCell="J14" sqref="J14"/>
    </sheetView>
  </sheetViews>
  <sheetFormatPr defaultRowHeight="15" x14ac:dyDescent="0.3"/>
  <cols>
    <col min="1" max="1" width="2.5" style="5" customWidth="1"/>
    <col min="2" max="2" width="17.75" style="5" customWidth="1"/>
    <col min="3" max="3" width="13" style="5" customWidth="1"/>
    <col min="4" max="4" width="11" style="5" customWidth="1"/>
    <col min="5" max="5" width="11" style="5" bestFit="1" customWidth="1"/>
    <col min="6" max="6" width="9" style="5" customWidth="1"/>
    <col min="7" max="7" width="11.625" style="5" customWidth="1"/>
    <col min="8" max="8" width="11" style="5" customWidth="1"/>
    <col min="9" max="9" width="14.625" style="5" bestFit="1" customWidth="1"/>
    <col min="10" max="10" width="9.25" style="5" bestFit="1" customWidth="1"/>
    <col min="11" max="11" width="7.875" style="5" customWidth="1"/>
    <col min="12" max="12" width="8.375" style="5" customWidth="1"/>
    <col min="13" max="13" width="14.625" style="5" bestFit="1" customWidth="1"/>
    <col min="14" max="14" width="8.5" style="5" customWidth="1"/>
    <col min="15" max="16384" width="9" style="5"/>
  </cols>
  <sheetData>
    <row r="1" spans="1:14" ht="29.4" thickBot="1" x14ac:dyDescent="0.35">
      <c r="A1" s="10" t="s">
        <v>35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2" t="s">
        <v>83</v>
      </c>
      <c r="J1" s="16" t="s">
        <v>0</v>
      </c>
      <c r="K1" s="16" t="s">
        <v>34</v>
      </c>
      <c r="L1" s="16" t="s">
        <v>84</v>
      </c>
      <c r="M1" s="9" t="s">
        <v>85</v>
      </c>
      <c r="N1" s="16" t="s">
        <v>86</v>
      </c>
    </row>
    <row r="2" spans="1:14" ht="55.8" thickBot="1" x14ac:dyDescent="0.35">
      <c r="A2" s="10"/>
      <c r="B2" s="11" t="s">
        <v>8</v>
      </c>
      <c r="C2" s="11" t="s">
        <v>9</v>
      </c>
      <c r="D2" s="11" t="s">
        <v>10</v>
      </c>
      <c r="E2" s="11">
        <v>0.63</v>
      </c>
      <c r="F2" s="11">
        <v>942</v>
      </c>
      <c r="G2" s="11">
        <v>758</v>
      </c>
      <c r="H2" s="12">
        <v>0.80500000000000005</v>
      </c>
      <c r="I2" s="1">
        <f>AVERAGE(E2,E7)</f>
        <v>0.66999999999999993</v>
      </c>
      <c r="J2" s="16" t="s">
        <v>8</v>
      </c>
      <c r="K2" s="17">
        <v>0.63</v>
      </c>
      <c r="L2" s="17">
        <v>0.71</v>
      </c>
      <c r="M2" s="1">
        <f>AVERAGE(K2:L2)</f>
        <v>0.66999999999999993</v>
      </c>
      <c r="N2" s="17">
        <v>1</v>
      </c>
    </row>
    <row r="3" spans="1:14" ht="42" thickBot="1" x14ac:dyDescent="0.35">
      <c r="A3" s="10"/>
      <c r="B3" s="11" t="s">
        <v>11</v>
      </c>
      <c r="C3" s="11" t="s">
        <v>12</v>
      </c>
      <c r="D3" s="11" t="s">
        <v>13</v>
      </c>
      <c r="E3" s="11">
        <v>0.63</v>
      </c>
      <c r="F3" s="11">
        <v>865</v>
      </c>
      <c r="G3" s="11">
        <v>682</v>
      </c>
      <c r="H3" s="12">
        <v>0.78800000000000003</v>
      </c>
      <c r="I3" s="1">
        <f t="shared" ref="I3:I6" si="0">AVERAGE(E3,E8)</f>
        <v>0.66999999999999993</v>
      </c>
      <c r="J3" s="16" t="s">
        <v>11</v>
      </c>
      <c r="K3" s="17">
        <v>0.63</v>
      </c>
      <c r="L3" s="17">
        <v>0.71</v>
      </c>
      <c r="M3" s="1">
        <f t="shared" ref="M3:M6" si="1">AVERAGE(K3:L3)</f>
        <v>0.66999999999999993</v>
      </c>
      <c r="N3" s="17">
        <v>1</v>
      </c>
    </row>
    <row r="4" spans="1:14" ht="28.2" thickBot="1" x14ac:dyDescent="0.35">
      <c r="A4" s="10"/>
      <c r="B4" s="11" t="s">
        <v>14</v>
      </c>
      <c r="C4" s="11" t="s">
        <v>15</v>
      </c>
      <c r="D4" s="11" t="s">
        <v>16</v>
      </c>
      <c r="E4" s="11">
        <v>0.62</v>
      </c>
      <c r="F4" s="11">
        <v>740</v>
      </c>
      <c r="G4" s="11">
        <v>539</v>
      </c>
      <c r="H4" s="12">
        <v>0.72799999999999998</v>
      </c>
      <c r="I4" s="1">
        <f t="shared" si="0"/>
        <v>0.65999999999999992</v>
      </c>
      <c r="J4" s="16" t="s">
        <v>14</v>
      </c>
      <c r="K4" s="17">
        <v>0.62</v>
      </c>
      <c r="L4" s="17">
        <v>0.7</v>
      </c>
      <c r="M4" s="1">
        <f t="shared" si="1"/>
        <v>0.65999999999999992</v>
      </c>
      <c r="N4" s="17">
        <v>1</v>
      </c>
    </row>
    <row r="5" spans="1:14" ht="42" thickBot="1" x14ac:dyDescent="0.35">
      <c r="A5" s="10"/>
      <c r="B5" s="11" t="s">
        <v>17</v>
      </c>
      <c r="C5" s="11" t="s">
        <v>18</v>
      </c>
      <c r="D5" s="11" t="s">
        <v>19</v>
      </c>
      <c r="E5" s="13">
        <v>1.36</v>
      </c>
      <c r="F5" s="11">
        <v>679</v>
      </c>
      <c r="G5" s="11">
        <v>422</v>
      </c>
      <c r="H5" s="12">
        <v>0.622</v>
      </c>
      <c r="I5" s="1">
        <f t="shared" si="0"/>
        <v>1.8450000000000002</v>
      </c>
      <c r="J5" s="16" t="s">
        <v>17</v>
      </c>
      <c r="K5" s="17">
        <v>1.36</v>
      </c>
      <c r="L5" s="17">
        <v>2.33</v>
      </c>
      <c r="M5" s="1">
        <f t="shared" si="1"/>
        <v>1.8450000000000002</v>
      </c>
      <c r="N5" s="17">
        <v>1</v>
      </c>
    </row>
    <row r="6" spans="1:14" ht="42" thickBot="1" x14ac:dyDescent="0.35">
      <c r="A6" s="10"/>
      <c r="B6" s="11" t="s">
        <v>20</v>
      </c>
      <c r="C6" s="11" t="s">
        <v>21</v>
      </c>
      <c r="D6" s="11" t="s">
        <v>22</v>
      </c>
      <c r="E6" s="11">
        <v>0.71</v>
      </c>
      <c r="F6" s="11">
        <v>865</v>
      </c>
      <c r="G6" s="11">
        <v>684</v>
      </c>
      <c r="H6" s="12">
        <v>0.79100000000000004</v>
      </c>
      <c r="I6" s="1">
        <f t="shared" si="0"/>
        <v>0.79499999999999993</v>
      </c>
      <c r="J6" s="16" t="s">
        <v>20</v>
      </c>
      <c r="K6" s="17">
        <v>0.71</v>
      </c>
      <c r="L6" s="17">
        <v>0.88</v>
      </c>
      <c r="M6" s="1">
        <f t="shared" si="1"/>
        <v>0.79499999999999993</v>
      </c>
      <c r="N6" s="17">
        <v>1</v>
      </c>
    </row>
    <row r="7" spans="1:14" x14ac:dyDescent="0.3">
      <c r="A7" s="10" t="s">
        <v>36</v>
      </c>
      <c r="B7" s="11" t="s">
        <v>8</v>
      </c>
      <c r="C7" s="11" t="s">
        <v>24</v>
      </c>
      <c r="D7" s="11" t="s">
        <v>25</v>
      </c>
      <c r="E7" s="11">
        <v>0.71</v>
      </c>
      <c r="F7" s="14">
        <v>3356</v>
      </c>
      <c r="G7" s="14">
        <v>2955</v>
      </c>
      <c r="H7" s="12">
        <v>0.88100000000000001</v>
      </c>
      <c r="I7" s="1"/>
      <c r="M7" s="1"/>
    </row>
    <row r="8" spans="1:14" x14ac:dyDescent="0.3">
      <c r="A8" s="10"/>
      <c r="B8" s="11" t="s">
        <v>11</v>
      </c>
      <c r="C8" s="11" t="s">
        <v>26</v>
      </c>
      <c r="D8" s="11" t="s">
        <v>27</v>
      </c>
      <c r="E8" s="11">
        <v>0.71</v>
      </c>
      <c r="F8" s="14">
        <v>3113</v>
      </c>
      <c r="G8" s="14">
        <v>2570</v>
      </c>
      <c r="H8" s="12">
        <v>0.82599999999999996</v>
      </c>
      <c r="I8" s="1"/>
      <c r="M8" s="1"/>
    </row>
    <row r="9" spans="1:14" ht="15.6" thickBot="1" x14ac:dyDescent="0.35">
      <c r="A9" s="10"/>
      <c r="B9" s="11" t="s">
        <v>14</v>
      </c>
      <c r="C9" s="11" t="s">
        <v>28</v>
      </c>
      <c r="D9" s="11" t="s">
        <v>29</v>
      </c>
      <c r="E9" s="11">
        <v>0.7</v>
      </c>
      <c r="F9" s="14">
        <v>2689</v>
      </c>
      <c r="G9" s="14">
        <v>2070</v>
      </c>
      <c r="H9" s="12">
        <v>0.77</v>
      </c>
      <c r="I9" s="1"/>
      <c r="M9" s="1"/>
    </row>
    <row r="10" spans="1:14" ht="111" thickBot="1" x14ac:dyDescent="0.35">
      <c r="A10" s="10"/>
      <c r="B10" s="11" t="s">
        <v>17</v>
      </c>
      <c r="C10" s="11" t="s">
        <v>30</v>
      </c>
      <c r="D10" s="11" t="s">
        <v>31</v>
      </c>
      <c r="E10" s="13">
        <v>2.33</v>
      </c>
      <c r="F10" s="11">
        <v>0</v>
      </c>
      <c r="G10" s="11">
        <v>0</v>
      </c>
      <c r="H10" s="15">
        <v>0</v>
      </c>
      <c r="I10" s="1"/>
      <c r="J10" s="16" t="s">
        <v>87</v>
      </c>
      <c r="K10" s="16" t="s">
        <v>88</v>
      </c>
      <c r="L10" s="16" t="s">
        <v>89</v>
      </c>
      <c r="M10" s="16" t="s">
        <v>90</v>
      </c>
    </row>
    <row r="11" spans="1:14" ht="55.8" thickBot="1" x14ac:dyDescent="0.35">
      <c r="A11" s="10"/>
      <c r="B11" s="11" t="s">
        <v>20</v>
      </c>
      <c r="C11" s="11" t="s">
        <v>32</v>
      </c>
      <c r="D11" s="11" t="s">
        <v>33</v>
      </c>
      <c r="E11" s="11">
        <v>0.88</v>
      </c>
      <c r="F11" s="14">
        <v>3113</v>
      </c>
      <c r="G11" s="14">
        <v>2587</v>
      </c>
      <c r="H11" s="12">
        <v>0.83099999999999996</v>
      </c>
      <c r="I11" s="1"/>
      <c r="J11" s="16" t="s">
        <v>8</v>
      </c>
      <c r="K11" s="17">
        <v>0.67</v>
      </c>
      <c r="L11" s="17">
        <v>84.3</v>
      </c>
      <c r="M11" s="17">
        <v>3713</v>
      </c>
    </row>
    <row r="12" spans="1:14" ht="42" thickBot="1" x14ac:dyDescent="0.35">
      <c r="A12" s="4"/>
      <c r="B12" s="1" t="s">
        <v>38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  <c r="H12" s="2" t="s">
        <v>44</v>
      </c>
      <c r="I12" s="4"/>
      <c r="J12" s="16" t="s">
        <v>11</v>
      </c>
      <c r="K12" s="17">
        <v>0.67</v>
      </c>
      <c r="L12" s="17">
        <v>80.7</v>
      </c>
      <c r="M12" s="17">
        <v>3252</v>
      </c>
    </row>
    <row r="13" spans="1:14" ht="46.2" thickBot="1" x14ac:dyDescent="0.35">
      <c r="A13" s="1" t="s">
        <v>37</v>
      </c>
      <c r="B13" s="1" t="s">
        <v>46</v>
      </c>
      <c r="C13" s="3">
        <v>0.80500000000000005</v>
      </c>
      <c r="D13" s="3">
        <v>0.88100000000000001</v>
      </c>
      <c r="E13" s="6">
        <v>0.86399999999999999</v>
      </c>
      <c r="F13" s="6">
        <v>0.86499999999999999</v>
      </c>
      <c r="G13" s="2" t="s">
        <v>47</v>
      </c>
      <c r="H13" s="2" t="s">
        <v>80</v>
      </c>
      <c r="I13" s="4"/>
      <c r="J13" s="16" t="s">
        <v>14</v>
      </c>
      <c r="K13" s="17">
        <v>0.66</v>
      </c>
      <c r="L13" s="17">
        <v>74.900000000000006</v>
      </c>
      <c r="M13" s="17">
        <v>2609</v>
      </c>
    </row>
    <row r="14" spans="1:14" ht="57.6" thickBot="1" x14ac:dyDescent="0.35">
      <c r="A14" s="1" t="s">
        <v>45</v>
      </c>
      <c r="B14" s="1" t="s">
        <v>49</v>
      </c>
      <c r="C14" s="3">
        <v>0.80200000000000005</v>
      </c>
      <c r="D14" s="3">
        <v>0.85799999999999998</v>
      </c>
      <c r="E14" s="3">
        <v>0.84499999999999997</v>
      </c>
      <c r="F14" s="3">
        <v>0.84699999999999998</v>
      </c>
      <c r="G14" s="2" t="s">
        <v>50</v>
      </c>
      <c r="H14" s="2" t="s">
        <v>51</v>
      </c>
      <c r="I14" s="4"/>
      <c r="J14" s="16" t="s">
        <v>91</v>
      </c>
      <c r="K14" s="17">
        <v>1.845</v>
      </c>
      <c r="L14" s="17">
        <v>31.1</v>
      </c>
      <c r="M14" s="17">
        <v>422</v>
      </c>
    </row>
    <row r="15" spans="1:14" ht="42" thickBot="1" x14ac:dyDescent="0.35">
      <c r="A15" s="1" t="s">
        <v>48</v>
      </c>
      <c r="B15" s="1" t="s">
        <v>53</v>
      </c>
      <c r="C15" s="3">
        <v>0.78800000000000003</v>
      </c>
      <c r="D15" s="3">
        <v>0.82599999999999996</v>
      </c>
      <c r="E15" s="3">
        <v>0.81699999999999995</v>
      </c>
      <c r="F15" s="3">
        <v>0.85199999999999998</v>
      </c>
      <c r="G15" s="2" t="s">
        <v>54</v>
      </c>
      <c r="H15" s="2" t="s">
        <v>55</v>
      </c>
      <c r="I15" s="4"/>
      <c r="J15" s="16" t="s">
        <v>20</v>
      </c>
      <c r="K15" s="17">
        <v>0.79500000000000004</v>
      </c>
      <c r="L15" s="17">
        <v>81.099999999999994</v>
      </c>
      <c r="M15" s="17">
        <v>3271</v>
      </c>
    </row>
    <row r="16" spans="1:14" ht="57" x14ac:dyDescent="0.3">
      <c r="A16" s="1" t="s">
        <v>52</v>
      </c>
      <c r="B16" s="1" t="s">
        <v>57</v>
      </c>
      <c r="C16" s="3">
        <v>0.72799999999999998</v>
      </c>
      <c r="D16" s="3">
        <v>0.77</v>
      </c>
      <c r="E16" s="3">
        <v>0.76100000000000001</v>
      </c>
      <c r="F16" s="3">
        <v>0.81499999999999995</v>
      </c>
      <c r="G16" s="2" t="s">
        <v>58</v>
      </c>
      <c r="H16" s="2" t="s">
        <v>59</v>
      </c>
      <c r="I16" s="4"/>
      <c r="M16" s="4"/>
    </row>
    <row r="17" spans="1:13" ht="22.8" x14ac:dyDescent="0.3">
      <c r="A17" s="1" t="s">
        <v>56</v>
      </c>
      <c r="B17" s="2"/>
      <c r="C17" s="2"/>
      <c r="D17" s="2"/>
      <c r="E17" s="2"/>
      <c r="F17" s="2"/>
      <c r="G17" s="2"/>
      <c r="H17" s="2"/>
      <c r="I17" s="7"/>
      <c r="M17" s="7"/>
    </row>
    <row r="18" spans="1:13" ht="15" customHeight="1" x14ac:dyDescent="0.3">
      <c r="A18" s="2" t="s">
        <v>60</v>
      </c>
    </row>
    <row r="19" spans="1:13" ht="36" customHeight="1" x14ac:dyDescent="0.3">
      <c r="B19" s="2" t="s">
        <v>62</v>
      </c>
      <c r="C19" s="2" t="s">
        <v>63</v>
      </c>
      <c r="D19" s="2" t="s">
        <v>64</v>
      </c>
      <c r="E19" s="2" t="s">
        <v>65</v>
      </c>
      <c r="F19" s="2" t="s">
        <v>66</v>
      </c>
      <c r="G19" s="2" t="s">
        <v>67</v>
      </c>
      <c r="H19" s="2" t="s">
        <v>68</v>
      </c>
    </row>
    <row r="20" spans="1:13" ht="57" x14ac:dyDescent="0.3">
      <c r="A20" s="1" t="s">
        <v>61</v>
      </c>
      <c r="B20" s="3">
        <v>0.78839999999999999</v>
      </c>
      <c r="C20" s="3">
        <v>0.79079999999999995</v>
      </c>
      <c r="D20" s="2" t="s">
        <v>69</v>
      </c>
      <c r="E20" s="2" t="s">
        <v>70</v>
      </c>
      <c r="F20" s="2" t="s">
        <v>71</v>
      </c>
      <c r="G20" s="8">
        <v>1.09E-2</v>
      </c>
      <c r="H20" s="2" t="s">
        <v>81</v>
      </c>
    </row>
    <row r="21" spans="1:13" ht="39.6" x14ac:dyDescent="0.3">
      <c r="A21" s="1" t="s">
        <v>7</v>
      </c>
      <c r="B21" s="3">
        <v>0.8256</v>
      </c>
      <c r="C21" s="3">
        <v>0.83099999999999996</v>
      </c>
      <c r="D21" s="2" t="s">
        <v>72</v>
      </c>
      <c r="E21" s="2" t="s">
        <v>73</v>
      </c>
      <c r="F21" s="2" t="s">
        <v>74</v>
      </c>
      <c r="G21" s="8">
        <v>3.1300000000000001E-2</v>
      </c>
      <c r="H21" s="2" t="s">
        <v>82</v>
      </c>
    </row>
    <row r="22" spans="1:13" ht="34.200000000000003" x14ac:dyDescent="0.3">
      <c r="A22" s="1" t="s">
        <v>23</v>
      </c>
      <c r="B22" s="3">
        <v>0.85199999999999998</v>
      </c>
      <c r="C22" s="3">
        <v>0.85699999999999998</v>
      </c>
      <c r="D22" s="2" t="s">
        <v>76</v>
      </c>
      <c r="E22" s="2" t="s">
        <v>77</v>
      </c>
      <c r="F22" s="2" t="s">
        <v>78</v>
      </c>
      <c r="G22" s="8">
        <v>1.7100000000000001E-2</v>
      </c>
      <c r="H22" s="2" t="s">
        <v>79</v>
      </c>
    </row>
    <row r="23" spans="1:13" ht="68.400000000000006" x14ac:dyDescent="0.3">
      <c r="A23" s="1" t="s">
        <v>75</v>
      </c>
    </row>
  </sheetData>
  <mergeCells count="2">
    <mergeCell ref="A1:A6"/>
    <mergeCell ref="A7:A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2026-10-14T10:00:39Z</dcterms:modified>
</cp:coreProperties>
</file>