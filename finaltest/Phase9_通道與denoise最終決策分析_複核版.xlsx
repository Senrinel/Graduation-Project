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最終決策" sheetId="1" state="visible" r:id="rId3"/>
    <sheet name="原始數據" sheetId="2" state="visible" r:id="rId4"/>
    <sheet name="Channel1四引擎比較" sheetId="3" state="visible" r:id="rId5"/>
    <sheet name="Channel2與Channel3成本效益" sheetId="4" state="visible" r:id="rId6"/>
    <sheet name="Denoise開關評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I5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§13.12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Noto Sans CJK SC"/>
            <family val="2"/>
          </rPr>
          <t xml:space="preserve">支真實影片加權命中率，詳見 </t>
        </r>
        <r>
          <rPr>
            <sz val="10"/>
            <rFont val="Arial"/>
            <family val="2"/>
          </rPr>
          <t xml:space="preserve">PHASE5_MULTI_CHANNEL_PLAN.md §12.8</t>
        </r>
        <r>
          <rPr>
            <sz val="10"/>
            <rFont val="Noto Sans CJK SC"/>
            <family val="2"/>
          </rPr>
          <t xml:space="preserve">，使用者本機真實執行）</t>
        </r>
      </text>
    </comment>
    <comment ref="I6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§13.12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Noto Sans CJK SC"/>
            <family val="2"/>
          </rPr>
          <t xml:space="preserve">支真實影片加權命中率，詳見 </t>
        </r>
        <r>
          <rPr>
            <sz val="10"/>
            <rFont val="Arial"/>
            <family val="2"/>
          </rPr>
          <t xml:space="preserve">PHASE5_MULTI_CHANNEL_PLAN.md §12.8</t>
        </r>
        <r>
          <rPr>
            <sz val="10"/>
            <rFont val="Noto Sans CJK SC"/>
            <family val="2"/>
          </rPr>
          <t xml:space="preserve">，使用者本機真實執行）</t>
        </r>
      </text>
    </comment>
    <comment ref="I7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§13.12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Noto Sans CJK SC"/>
            <family val="2"/>
          </rPr>
          <t xml:space="preserve">支真實影片加權命中率，詳見 </t>
        </r>
        <r>
          <rPr>
            <sz val="10"/>
            <rFont val="Arial"/>
            <family val="2"/>
          </rPr>
          <t xml:space="preserve">PHASE5_MULTI_CHANNEL_PLAN.md §12.8</t>
        </r>
        <r>
          <rPr>
            <sz val="10"/>
            <rFont val="Noto Sans CJK SC"/>
            <family val="2"/>
          </rPr>
          <t xml:space="preserve">，使用者本機真實執行）</t>
        </r>
      </text>
    </comment>
    <comment ref="I8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§13.12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Noto Sans CJK SC"/>
            <family val="2"/>
          </rPr>
          <t xml:space="preserve">支真實影片加權命中率，詳見 </t>
        </r>
        <r>
          <rPr>
            <sz val="10"/>
            <rFont val="Arial"/>
            <family val="2"/>
          </rPr>
          <t xml:space="preserve">PHASE5_MULTI_CHANNEL_PLAN.md §12.8</t>
        </r>
        <r>
          <rPr>
            <sz val="10"/>
            <rFont val="Noto Sans CJK SC"/>
            <family val="2"/>
          </rPr>
          <t xml:space="preserve">，使用者本機真實執行）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16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§13.12</t>
        </r>
      </text>
    </comment>
    <comment ref="B17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§13.12</t>
        </r>
      </text>
    </comment>
    <comment ref="B18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§13.12</t>
        </r>
      </text>
    </comment>
    <comment ref="B19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§13.12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6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PROJECT_NOTES.md §12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001.mkv</t>
        </r>
        <r>
          <rPr>
            <sz val="10"/>
            <rFont val="Noto Sans CJK SC"/>
            <family val="2"/>
          </rPr>
          <t xml:space="preserve">，</t>
        </r>
        <r>
          <rPr>
            <sz val="10"/>
            <rFont val="Arial"/>
            <family val="2"/>
          </rPr>
          <t xml:space="preserve">619</t>
        </r>
        <r>
          <rPr>
            <sz val="10"/>
            <rFont val="Noto Sans CJK SC"/>
            <family val="2"/>
          </rPr>
          <t xml:space="preserve">影格，使用者本機</t>
        </r>
        <r>
          <rPr>
            <sz val="10"/>
            <rFont val="Arial"/>
            <family val="2"/>
          </rPr>
          <t xml:space="preserve">RTX 4060</t>
        </r>
        <r>
          <rPr>
            <sz val="10"/>
            <rFont val="Noto Sans CJK SC"/>
            <family val="2"/>
          </rPr>
          <t xml:space="preserve">真實執行）</t>
        </r>
      </text>
    </comment>
  </commentList>
</comments>
</file>

<file path=xl/sharedStrings.xml><?xml version="1.0" encoding="utf-8"?>
<sst xmlns="http://schemas.openxmlformats.org/spreadsheetml/2006/main" count="187" uniqueCount="140">
  <si>
    <r>
      <rPr>
        <b val="true"/>
        <sz val="14"/>
        <color rgb="FF1F4E78"/>
        <rFont val="Arial"/>
        <family val="0"/>
        <charset val="1"/>
      </rPr>
      <t xml:space="preserve">Phase 9 </t>
    </r>
    <r>
      <rPr>
        <b val="true"/>
        <sz val="14"/>
        <color rgb="FF1F4E78"/>
        <rFont val="Noto Sans CJK SC"/>
        <family val="2"/>
      </rPr>
      <t xml:space="preserve">最終決策：專案各項目去留</t>
    </r>
  </si>
  <si>
    <r>
      <rPr>
        <i val="true"/>
        <sz val="9"/>
        <color rgb="FF666666"/>
        <rFont val="Noto Sans CJK SC"/>
        <family val="2"/>
      </rPr>
      <t xml:space="preserve">目標：在輸入影片本身長度的時間內，取得最好的辨識輸出結果。依據：</t>
    </r>
    <r>
      <rPr>
        <i val="true"/>
        <sz val="9"/>
        <color rgb="FF666666"/>
        <rFont val="Arial"/>
        <family val="0"/>
        <charset val="1"/>
      </rPr>
      <t xml:space="preserve">finaltest/ 2 </t>
    </r>
    <r>
      <rPr>
        <i val="true"/>
        <sz val="9"/>
        <color rgb="FF666666"/>
        <rFont val="Noto Sans CJK SC"/>
        <family val="2"/>
      </rPr>
      <t xml:space="preserve">支真實影片（</t>
    </r>
    <r>
      <rPr>
        <i val="true"/>
        <sz val="9"/>
        <color rgb="FF666666"/>
        <rFont val="Arial"/>
        <family val="0"/>
        <charset val="1"/>
      </rPr>
      <t xml:space="preserve">01.mkv 12.2</t>
    </r>
    <r>
      <rPr>
        <i val="true"/>
        <sz val="9"/>
        <color rgb="FF666666"/>
        <rFont val="Noto Sans CJK SC"/>
        <family val="2"/>
      </rPr>
      <t xml:space="preserve">分鐘、</t>
    </r>
    <r>
      <rPr>
        <i val="true"/>
        <sz val="9"/>
        <color rgb="FF666666"/>
        <rFont val="Arial"/>
        <family val="0"/>
        <charset val="1"/>
      </rPr>
      <t xml:space="preserve">02.mp4 18.7</t>
    </r>
    <r>
      <rPr>
        <i val="true"/>
        <sz val="9"/>
        <color rgb="FF666666"/>
        <rFont val="Noto Sans CJK SC"/>
        <family val="2"/>
      </rPr>
      <t xml:space="preserve">分鐘）完整跑過 </t>
    </r>
    <r>
      <rPr>
        <i val="true"/>
        <sz val="9"/>
        <color rgb="FF666666"/>
        <rFont val="Arial"/>
        <family val="0"/>
        <charset val="1"/>
      </rPr>
      <t xml:space="preserve">Channel1(4</t>
    </r>
    <r>
      <rPr>
        <i val="true"/>
        <sz val="9"/>
        <color rgb="FF666666"/>
        <rFont val="Noto Sans CJK SC"/>
        <family val="2"/>
      </rPr>
      <t xml:space="preserve">引擎</t>
    </r>
    <r>
      <rPr>
        <i val="true"/>
        <sz val="9"/>
        <color rgb="FF666666"/>
        <rFont val="Arial"/>
        <family val="0"/>
        <charset val="1"/>
      </rPr>
      <t xml:space="preserve">)+Channel2+Channel3</t>
    </r>
    <r>
      <rPr>
        <i val="true"/>
        <sz val="9"/>
        <color rgb="FF666666"/>
        <rFont val="Noto Sans CJK SC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denoise on </t>
    </r>
    <r>
      <rPr>
        <i val="true"/>
        <sz val="9"/>
        <color rgb="FF666666"/>
        <rFont val="Noto Sans CJK SC"/>
        <family val="2"/>
      </rPr>
      <t xml:space="preserve">的真實測試結果，並與歷史 </t>
    </r>
    <r>
      <rPr>
        <i val="true"/>
        <sz val="9"/>
        <color rgb="FF666666"/>
        <rFont val="Arial"/>
        <family val="0"/>
        <charset val="1"/>
      </rPr>
      <t xml:space="preserve">10 </t>
    </r>
    <r>
      <rPr>
        <i val="true"/>
        <sz val="9"/>
        <color rgb="FF666666"/>
        <rFont val="Noto Sans CJK SC"/>
        <family val="2"/>
      </rPr>
      <t xml:space="preserve">支真實影片驗收數據、</t>
    </r>
    <r>
      <rPr>
        <i val="true"/>
        <sz val="9"/>
        <color rgb="FF666666"/>
        <rFont val="Arial"/>
        <family val="0"/>
        <charset val="1"/>
      </rPr>
      <t xml:space="preserve">Phase 3 denoise </t>
    </r>
    <r>
      <rPr>
        <i val="true"/>
        <sz val="9"/>
        <color rgb="FF666666"/>
        <rFont val="Noto Sans CJK SC"/>
        <family val="2"/>
      </rPr>
      <t xml:space="preserve">真實 </t>
    </r>
    <r>
      <rPr>
        <i val="true"/>
        <sz val="9"/>
        <color rgb="FF666666"/>
        <rFont val="Arial"/>
        <family val="0"/>
        <charset val="1"/>
      </rPr>
      <t xml:space="preserve">A/B </t>
    </r>
    <r>
      <rPr>
        <i val="true"/>
        <sz val="9"/>
        <color rgb="FF666666"/>
        <rFont val="Noto Sans CJK SC"/>
        <family val="2"/>
      </rPr>
      <t xml:space="preserve">測試交叉比對；所有數字可在「原始數據」「</t>
    </r>
    <r>
      <rPr>
        <i val="true"/>
        <sz val="9"/>
        <color rgb="FF666666"/>
        <rFont val="Arial"/>
        <family val="0"/>
        <charset val="1"/>
      </rPr>
      <t xml:space="preserve">Channel1</t>
    </r>
    <r>
      <rPr>
        <i val="true"/>
        <sz val="9"/>
        <color rgb="FF666666"/>
        <rFont val="Noto Sans CJK SC"/>
        <family val="2"/>
      </rPr>
      <t xml:space="preserve">四引擎比較」「</t>
    </r>
    <r>
      <rPr>
        <i val="true"/>
        <sz val="9"/>
        <color rgb="FF666666"/>
        <rFont val="Arial"/>
        <family val="0"/>
        <charset val="1"/>
      </rPr>
      <t xml:space="preserve">Channel2</t>
    </r>
    <r>
      <rPr>
        <i val="true"/>
        <sz val="9"/>
        <color rgb="FF666666"/>
        <rFont val="Noto Sans CJK SC"/>
        <family val="2"/>
      </rPr>
      <t xml:space="preserve">與</t>
    </r>
    <r>
      <rPr>
        <i val="true"/>
        <sz val="9"/>
        <color rgb="FF666666"/>
        <rFont val="Arial"/>
        <family val="0"/>
        <charset val="1"/>
      </rPr>
      <t xml:space="preserve">Channel3</t>
    </r>
    <r>
      <rPr>
        <i val="true"/>
        <sz val="9"/>
        <color rgb="FF666666"/>
        <rFont val="Noto Sans CJK SC"/>
        <family val="2"/>
      </rPr>
      <t xml:space="preserve">成本效益」「</t>
    </r>
    <r>
      <rPr>
        <i val="true"/>
        <sz val="9"/>
        <color rgb="FF666666"/>
        <rFont val="Arial"/>
        <family val="0"/>
        <charset val="1"/>
      </rPr>
      <t xml:space="preserve">Denoise</t>
    </r>
    <r>
      <rPr>
        <i val="true"/>
        <sz val="9"/>
        <color rgb="FF666666"/>
        <rFont val="Noto Sans CJK SC"/>
        <family val="2"/>
      </rPr>
      <t xml:space="preserve">開關評估」分頁逐一追溯。</t>
    </r>
  </si>
  <si>
    <r>
      <rPr>
        <i val="true"/>
        <sz val="9"/>
        <color rgb="FFC00000"/>
        <rFont val="Noto Sans CJK SC"/>
        <family val="2"/>
      </rPr>
      <t xml:space="preserve">⚠ 注意：</t>
    </r>
    <r>
      <rPr>
        <i val="true"/>
        <sz val="9"/>
        <color rgb="FFC00000"/>
        <rFont val="Arial"/>
        <family val="0"/>
        <charset val="1"/>
      </rPr>
      <t xml:space="preserve">finaltest/ </t>
    </r>
    <r>
      <rPr>
        <i val="true"/>
        <sz val="9"/>
        <color rgb="FFC00000"/>
        <rFont val="Noto Sans CJK SC"/>
        <family val="2"/>
      </rPr>
      <t xml:space="preserve">資料夾內原本已有一份同名分析（</t>
    </r>
    <r>
      <rPr>
        <i val="true"/>
        <sz val="9"/>
        <color rgb="FFC00000"/>
        <rFont val="Arial"/>
        <family val="0"/>
        <charset val="1"/>
      </rPr>
      <t xml:space="preserve">Phase9_</t>
    </r>
    <r>
      <rPr>
        <i val="true"/>
        <sz val="9"/>
        <color rgb="FFC00000"/>
        <rFont val="Noto Sans CJK SC"/>
        <family val="2"/>
      </rPr>
      <t xml:space="preserve">通道與</t>
    </r>
    <r>
      <rPr>
        <i val="true"/>
        <sz val="9"/>
        <color rgb="FFC00000"/>
        <rFont val="Arial"/>
        <family val="0"/>
        <charset val="1"/>
      </rPr>
      <t xml:space="preserve">denoise</t>
    </r>
    <r>
      <rPr>
        <i val="true"/>
        <sz val="9"/>
        <color rgb="FFC00000"/>
        <rFont val="Noto Sans CJK SC"/>
        <family val="2"/>
      </rPr>
      <t xml:space="preserve">最終決策分析</t>
    </r>
    <r>
      <rPr>
        <i val="true"/>
        <sz val="9"/>
        <color rgb="FFC00000"/>
        <rFont val="Arial"/>
        <family val="0"/>
        <charset val="1"/>
      </rPr>
      <t xml:space="preserve">.xlsx</t>
    </r>
    <r>
      <rPr>
        <i val="true"/>
        <sz val="9"/>
        <color rgb="FFC00000"/>
        <rFont val="Noto Sans CJK SC"/>
        <family val="2"/>
      </rPr>
      <t xml:space="preserve">，建立於 </t>
    </r>
    <r>
      <rPr>
        <i val="true"/>
        <sz val="9"/>
        <color rgb="FFC00000"/>
        <rFont val="Arial"/>
        <family val="0"/>
        <charset val="1"/>
      </rPr>
      <t xml:space="preserve">2026-08-15</t>
    </r>
    <r>
      <rPr>
        <i val="true"/>
        <sz val="9"/>
        <color rgb="FFC00000"/>
        <rFont val="Noto Sans CJK SC"/>
        <family val="2"/>
      </rPr>
      <t xml:space="preserve">），其 </t>
    </r>
    <r>
      <rPr>
        <i val="true"/>
        <sz val="9"/>
        <color rgb="FFC00000"/>
        <rFont val="Arial"/>
        <family val="0"/>
        <charset val="1"/>
      </rPr>
      <t xml:space="preserve">Channel2/01.mkv </t>
    </r>
    <r>
      <rPr>
        <i val="true"/>
        <sz val="9"/>
        <color rgb="FFC00000"/>
        <rFont val="Noto Sans CJK SC"/>
        <family val="2"/>
      </rPr>
      <t xml:space="preserve">數據（聲稱耗時</t>
    </r>
    <r>
      <rPr>
        <i val="true"/>
        <sz val="9"/>
        <color rgb="FFC00000"/>
        <rFont val="Arial"/>
        <family val="0"/>
        <charset val="1"/>
      </rPr>
      <t xml:space="preserve">311.5</t>
    </r>
    <r>
      <rPr>
        <i val="true"/>
        <sz val="9"/>
        <color rgb="FFC00000"/>
        <rFont val="Noto Sans CJK SC"/>
        <family val="2"/>
      </rPr>
      <t xml:space="preserve">秒後失敗）與本次真實 </t>
    </r>
    <r>
      <rPr>
        <i val="true"/>
        <sz val="9"/>
        <color rgb="FFC00000"/>
        <rFont val="Arial"/>
        <family val="0"/>
        <charset val="1"/>
      </rPr>
      <t xml:space="preserve">01_status.json</t>
    </r>
    <r>
      <rPr>
        <i val="true"/>
        <sz val="9"/>
        <color rgb="FFC00000"/>
        <rFont val="Noto Sans CJK SC"/>
        <family val="2"/>
      </rPr>
      <t xml:space="preserve">（實際耗時</t>
    </r>
    <r>
      <rPr>
        <i val="true"/>
        <sz val="9"/>
        <color rgb="FFC00000"/>
        <rFont val="Arial"/>
        <family val="0"/>
        <charset val="1"/>
      </rPr>
      <t xml:space="preserve">544.31</t>
    </r>
    <r>
      <rPr>
        <i val="true"/>
        <sz val="9"/>
        <color rgb="FFC00000"/>
        <rFont val="Noto Sans CJK SC"/>
        <family val="2"/>
      </rPr>
      <t xml:space="preserve">秒、成功完成）不符，研判為建立時間早於這次真實測試、資料過期或另有來源，本檔案內容完全不採用該檔案的任何數字，全部重新從 </t>
    </r>
    <r>
      <rPr>
        <i val="true"/>
        <sz val="9"/>
        <color rgb="FFC00000"/>
        <rFont val="Arial"/>
        <family val="0"/>
        <charset val="1"/>
      </rPr>
      <t xml:space="preserve">finaltest/ </t>
    </r>
    <r>
      <rPr>
        <i val="true"/>
        <sz val="9"/>
        <color rgb="FFC00000"/>
        <rFont val="Noto Sans CJK SC"/>
        <family val="2"/>
      </rPr>
      <t xml:space="preserve">底下的真實 </t>
    </r>
    <r>
      <rPr>
        <i val="true"/>
        <sz val="9"/>
        <color rgb="FFC00000"/>
        <rFont val="Arial"/>
        <family val="0"/>
        <charset val="1"/>
      </rPr>
      <t xml:space="preserve">status.json </t>
    </r>
    <r>
      <rPr>
        <i val="true"/>
        <sz val="9"/>
        <color rgb="FFC00000"/>
        <rFont val="Noto Sans CJK SC"/>
        <family val="2"/>
      </rPr>
      <t xml:space="preserve">與 </t>
    </r>
    <r>
      <rPr>
        <i val="true"/>
        <sz val="9"/>
        <color rgb="FFC00000"/>
        <rFont val="Arial"/>
        <family val="0"/>
        <charset val="1"/>
      </rPr>
      <t xml:space="preserve">stats/*.csv </t>
    </r>
    <r>
      <rPr>
        <i val="true"/>
        <sz val="9"/>
        <color rgb="FFC00000"/>
        <rFont val="Noto Sans CJK SC"/>
        <family val="2"/>
      </rPr>
      <t xml:space="preserve">讀取計算。</t>
    </r>
  </si>
  <si>
    <t xml:space="preserve">項目</t>
  </si>
  <si>
    <t xml:space="preserve">決定</t>
  </si>
  <si>
    <t xml:space="preserve">關鍵數據</t>
  </si>
  <si>
    <t xml:space="preserve">依據</t>
  </si>
  <si>
    <r>
      <rPr>
        <b val="true"/>
        <sz val="10"/>
        <rFont val="Arial"/>
        <family val="0"/>
        <charset val="1"/>
      </rPr>
      <t xml:space="preserve">Denoise</t>
    </r>
    <r>
      <rPr>
        <b val="true"/>
        <sz val="10"/>
        <rFont val="Noto Sans CJK SC"/>
        <family val="2"/>
      </rPr>
      <t xml:space="preserve">（去雜訊）</t>
    </r>
  </si>
  <si>
    <r>
      <rPr>
        <b val="true"/>
        <sz val="10"/>
        <rFont val="Noto Sans CJK SC"/>
        <family val="2"/>
      </rPr>
      <t xml:space="preserve">關閉（</t>
    </r>
    <r>
      <rPr>
        <b val="true"/>
        <sz val="10"/>
        <rFont val="Arial"/>
        <family val="0"/>
        <charset val="1"/>
      </rPr>
      <t xml:space="preserve">OFF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</si>
  <si>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辨識率提升僅約 </t>
    </r>
    <r>
      <rPr>
        <sz val="10"/>
        <rFont val="Arial"/>
        <family val="0"/>
        <charset val="1"/>
      </rPr>
      <t xml:space="preserve">2.0%</t>
    </r>
    <r>
      <rPr>
        <sz val="10"/>
        <rFont val="Noto Sans CJK SC"/>
        <family val="2"/>
      </rPr>
      <t xml:space="preserve">（信心分數），遠低於自訂 </t>
    </r>
    <r>
      <rPr>
        <sz val="10"/>
        <rFont val="Arial"/>
        <family val="0"/>
        <charset val="1"/>
      </rPr>
      <t xml:space="preserve">15% </t>
    </r>
    <r>
      <rPr>
        <sz val="10"/>
        <rFont val="Noto Sans CJK SC"/>
        <family val="2"/>
      </rPr>
      <t xml:space="preserve">門檻；偵測數量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低信心比例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逐格文字集合等指標方向不一致；總處理時間反而多花 </t>
    </r>
    <r>
      <rPr>
        <sz val="10"/>
        <rFont val="Arial"/>
        <family val="0"/>
        <charset val="1"/>
      </rPr>
      <t xml:space="preserve">31.2%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001.mkv </t>
    </r>
    <r>
      <rPr>
        <sz val="10"/>
        <rFont val="Noto Sans CJK SC"/>
        <family val="2"/>
      </rPr>
      <t xml:space="preserve">真實</t>
    </r>
    <r>
      <rPr>
        <sz val="10"/>
        <rFont val="Arial"/>
        <family val="0"/>
        <charset val="1"/>
      </rPr>
      <t xml:space="preserve">A/B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357.5s vs 246.0s</t>
    </r>
    <r>
      <rPr>
        <sz val="10"/>
        <rFont val="Noto Sans CJK SC"/>
        <family val="2"/>
      </rPr>
      <t xml:space="preserve">）</t>
    </r>
  </si>
  <si>
    <r>
      <rPr>
        <i val="true"/>
        <sz val="9"/>
        <color rgb="FF808080"/>
        <rFont val="Arial"/>
        <family val="0"/>
        <charset val="1"/>
      </rPr>
      <t xml:space="preserve">Phase 3</t>
    </r>
    <r>
      <rPr>
        <i val="true"/>
        <sz val="9"/>
        <color rgb="FF808080"/>
        <rFont val="Noto Sans CJK SC"/>
        <family val="2"/>
      </rPr>
      <t xml:space="preserve">、</t>
    </r>
    <r>
      <rPr>
        <i val="true"/>
        <sz val="9"/>
        <color rgb="FF808080"/>
        <rFont val="Arial"/>
        <family val="0"/>
        <charset val="1"/>
      </rPr>
      <t xml:space="preserve">001.mkv 619</t>
    </r>
    <r>
      <rPr>
        <i val="true"/>
        <sz val="9"/>
        <color rgb="FF808080"/>
        <rFont val="Noto Sans CJK SC"/>
        <family val="2"/>
      </rPr>
      <t xml:space="preserve">影格真實</t>
    </r>
    <r>
      <rPr>
        <i val="true"/>
        <sz val="9"/>
        <color rgb="FF808080"/>
        <rFont val="Arial"/>
        <family val="0"/>
        <charset val="1"/>
      </rPr>
      <t xml:space="preserve">A/B</t>
    </r>
    <r>
      <rPr>
        <i val="true"/>
        <sz val="9"/>
        <color rgb="FF808080"/>
        <rFont val="Noto Sans CJK SC"/>
        <family val="2"/>
      </rPr>
      <t xml:space="preserve">測試（</t>
    </r>
    <r>
      <rPr>
        <i val="true"/>
        <sz val="9"/>
        <color rgb="FF808080"/>
        <rFont val="Arial"/>
        <family val="0"/>
        <charset val="1"/>
      </rPr>
      <t xml:space="preserve">PROJECT_NOTES.md §12</t>
    </r>
    <r>
      <rPr>
        <i val="true"/>
        <sz val="9"/>
        <color rgb="FF808080"/>
        <rFont val="Noto Sans CJK SC"/>
        <family val="2"/>
      </rPr>
      <t xml:space="preserve">；見「</t>
    </r>
    <r>
      <rPr>
        <i val="true"/>
        <sz val="9"/>
        <color rgb="FF808080"/>
        <rFont val="Arial"/>
        <family val="0"/>
        <charset val="1"/>
      </rPr>
      <t xml:space="preserve">Denoise</t>
    </r>
    <r>
      <rPr>
        <i val="true"/>
        <sz val="9"/>
        <color rgb="FF808080"/>
        <rFont val="Noto Sans CJK SC"/>
        <family val="2"/>
      </rPr>
      <t xml:space="preserve">開關評估」分頁）</t>
    </r>
  </si>
  <si>
    <r>
      <rPr>
        <b val="true"/>
        <sz val="10"/>
        <rFont val="Arial"/>
        <family val="0"/>
        <charset val="1"/>
      </rPr>
      <t xml:space="preserve">Channel 1 </t>
    </r>
    <r>
      <rPr>
        <b val="true"/>
        <sz val="10"/>
        <rFont val="Noto Sans CJK SC"/>
        <family val="2"/>
      </rPr>
      <t xml:space="preserve">引擎</t>
    </r>
  </si>
  <si>
    <r>
      <rPr>
        <b val="true"/>
        <sz val="10"/>
        <rFont val="Arial"/>
        <family val="0"/>
        <charset val="1"/>
      </rPr>
      <t xml:space="preserve">Komoran</t>
    </r>
    <r>
      <rPr>
        <b val="true"/>
        <sz val="10"/>
        <rFont val="Noto Sans CJK SC"/>
        <family val="2"/>
      </rPr>
      <t xml:space="preserve">（單一預設引擎）</t>
    </r>
  </si>
  <si>
    <r>
      <rPr>
        <sz val="10"/>
        <rFont val="Noto Sans CJK SC"/>
        <family val="2"/>
      </rPr>
      <t xml:space="preserve">本次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支影片加權命中率 </t>
    </r>
    <r>
      <rPr>
        <sz val="10"/>
        <rFont val="Arial"/>
        <family val="0"/>
        <charset val="1"/>
      </rPr>
      <t xml:space="preserve">86.4%</t>
    </r>
    <r>
      <rPr>
        <sz val="10"/>
        <rFont val="Noto Sans CJK SC"/>
        <family val="2"/>
      </rPr>
      <t xml:space="preserve">、歷史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支影片加權命中率 </t>
    </r>
    <r>
      <rPr>
        <sz val="10"/>
        <rFont val="Arial"/>
        <family val="0"/>
        <charset val="1"/>
      </rPr>
      <t xml:space="preserve">86.5%</t>
    </r>
    <r>
      <rPr>
        <sz val="10"/>
        <rFont val="Noto Sans CJK SC"/>
        <family val="2"/>
      </rPr>
      <t xml:space="preserve">，兩組獨立真實資料皆排名第一；四引擎間耗時差異僅數秒，相對總管線耗時</t>
    </r>
    <r>
      <rPr>
        <sz val="10"/>
        <rFont val="Arial"/>
        <family val="0"/>
        <charset val="1"/>
      </rPr>
      <t xml:space="preserve">&lt;3%</t>
    </r>
    <r>
      <rPr>
        <sz val="10"/>
        <rFont val="Noto Sans CJK SC"/>
        <family val="2"/>
      </rPr>
      <t xml:space="preserve">，非決策關鍵因素</t>
    </r>
  </si>
  <si>
    <r>
      <rPr>
        <i val="true"/>
        <sz val="9"/>
        <color rgb="FF808080"/>
        <rFont val="Noto Sans CJK SC"/>
        <family val="2"/>
      </rPr>
      <t xml:space="preserve">本次真實測試 </t>
    </r>
    <r>
      <rPr>
        <i val="true"/>
        <sz val="9"/>
        <color rgb="FF808080"/>
        <rFont val="Arial"/>
        <family val="0"/>
        <charset val="1"/>
      </rPr>
      <t xml:space="preserve">+ PROJECT_NOTES.md §13.12</t>
    </r>
    <r>
      <rPr>
        <i val="true"/>
        <sz val="9"/>
        <color rgb="FF808080"/>
        <rFont val="Noto Sans CJK SC"/>
        <family val="2"/>
      </rPr>
      <t xml:space="preserve">（見「</t>
    </r>
    <r>
      <rPr>
        <i val="true"/>
        <sz val="9"/>
        <color rgb="FF808080"/>
        <rFont val="Arial"/>
        <family val="0"/>
        <charset val="1"/>
      </rPr>
      <t xml:space="preserve">Channel1</t>
    </r>
    <r>
      <rPr>
        <i val="true"/>
        <sz val="9"/>
        <color rgb="FF808080"/>
        <rFont val="Noto Sans CJK SC"/>
        <family val="2"/>
      </rPr>
      <t xml:space="preserve">四引擎比較」分頁）</t>
    </r>
  </si>
  <si>
    <r>
      <rPr>
        <b val="true"/>
        <sz val="10"/>
        <rFont val="Arial"/>
        <family val="0"/>
        <charset val="1"/>
      </rPr>
      <t xml:space="preserve">Channel 3</t>
    </r>
    <r>
      <rPr>
        <b val="true"/>
        <sz val="10"/>
        <rFont val="Noto Sans CJK SC"/>
        <family val="2"/>
      </rPr>
      <t xml:space="preserve">（字典</t>
    </r>
    <r>
      <rPr>
        <b val="true"/>
        <sz val="10"/>
        <rFont val="Arial"/>
        <family val="0"/>
        <charset val="1"/>
      </rPr>
      <t xml:space="preserve">+LLM fallback</t>
    </r>
    <r>
      <rPr>
        <b val="true"/>
        <sz val="10"/>
        <rFont val="Noto Sans CJK SC"/>
        <family val="2"/>
      </rPr>
      <t xml:space="preserve">）</t>
    </r>
  </si>
  <si>
    <t xml:space="preserve">不建議設為預設</t>
  </si>
  <si>
    <r>
      <rPr>
        <sz val="10"/>
        <rFont val="Arial"/>
        <family val="0"/>
        <charset val="1"/>
      </rPr>
      <t xml:space="preserve">Fallback</t>
    </r>
    <r>
      <rPr>
        <sz val="10"/>
        <rFont val="Noto Sans CJK SC"/>
        <family val="2"/>
      </rPr>
      <t xml:space="preserve">成功率僅</t>
    </r>
    <r>
      <rPr>
        <sz val="10"/>
        <rFont val="Arial"/>
        <family val="0"/>
        <charset val="1"/>
      </rPr>
      <t xml:space="preserve">1.1%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3.1%</t>
    </r>
    <r>
      <rPr>
        <sz val="10"/>
        <rFont val="Noto Sans CJK SC"/>
        <family val="2"/>
      </rPr>
      <t xml:space="preserve">（本次）</t>
    </r>
    <r>
      <rPr>
        <sz val="10"/>
        <rFont val="Arial"/>
        <family val="0"/>
        <charset val="1"/>
      </rPr>
      <t xml:space="preserve">/1.7%</t>
    </r>
    <r>
      <rPr>
        <sz val="10"/>
        <rFont val="Noto Sans CJK SC"/>
        <family val="2"/>
      </rPr>
      <t xml:space="preserve">（歷史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支影片）；換來的命中率增量僅</t>
    </r>
    <r>
      <rPr>
        <sz val="10"/>
        <rFont val="Arial"/>
        <family val="0"/>
        <charset val="1"/>
      </rPr>
      <t xml:space="preserve">+0.2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+0.6</t>
    </r>
    <r>
      <rPr>
        <sz val="10"/>
        <rFont val="Noto Sans CJK SC"/>
        <family val="2"/>
      </rPr>
      <t xml:space="preserve">個百分點，耗時卻是</t>
    </r>
    <r>
      <rPr>
        <sz val="10"/>
        <rFont val="Arial"/>
        <family val="0"/>
        <charset val="1"/>
      </rPr>
      <t xml:space="preserve">Channel1-Mecab</t>
    </r>
    <r>
      <rPr>
        <sz val="10"/>
        <rFont val="Noto Sans CJK SC"/>
        <family val="2"/>
      </rPr>
      <t xml:space="preserve">單獨執行的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倍</t>
    </r>
  </si>
  <si>
    <r>
      <rPr>
        <i val="true"/>
        <sz val="9"/>
        <color rgb="FF808080"/>
        <rFont val="Noto Sans CJK SC"/>
        <family val="2"/>
      </rPr>
      <t xml:space="preserve">本次真實測試 </t>
    </r>
    <r>
      <rPr>
        <i val="true"/>
        <sz val="9"/>
        <color rgb="FF808080"/>
        <rFont val="Arial"/>
        <family val="0"/>
        <charset val="1"/>
      </rPr>
      <t xml:space="preserve">+ PROJECT_NOTES.md §13.12</t>
    </r>
    <r>
      <rPr>
        <i val="true"/>
        <sz val="9"/>
        <color rgb="FF808080"/>
        <rFont val="Noto Sans CJK SC"/>
        <family val="2"/>
      </rPr>
      <t xml:space="preserve">（見「</t>
    </r>
    <r>
      <rPr>
        <i val="true"/>
        <sz val="9"/>
        <color rgb="FF808080"/>
        <rFont val="Arial"/>
        <family val="0"/>
        <charset val="1"/>
      </rPr>
      <t xml:space="preserve">Channel2</t>
    </r>
    <r>
      <rPr>
        <i val="true"/>
        <sz val="9"/>
        <color rgb="FF808080"/>
        <rFont val="Noto Sans CJK SC"/>
        <family val="2"/>
      </rPr>
      <t xml:space="preserve">與</t>
    </r>
    <r>
      <rPr>
        <i val="true"/>
        <sz val="9"/>
        <color rgb="FF808080"/>
        <rFont val="Arial"/>
        <family val="0"/>
        <charset val="1"/>
      </rPr>
      <t xml:space="preserve">Channel3</t>
    </r>
    <r>
      <rPr>
        <i val="true"/>
        <sz val="9"/>
        <color rgb="FF808080"/>
        <rFont val="Noto Sans CJK SC"/>
        <family val="2"/>
      </rPr>
      <t xml:space="preserve">成本效益」分頁）</t>
    </r>
  </si>
  <si>
    <r>
      <rPr>
        <b val="true"/>
        <sz val="10"/>
        <rFont val="Arial"/>
        <family val="0"/>
        <charset val="1"/>
      </rPr>
      <t xml:space="preserve">Channel 2</t>
    </r>
    <r>
      <rPr>
        <b val="true"/>
        <sz val="10"/>
        <rFont val="Noto Sans CJK SC"/>
        <family val="2"/>
      </rPr>
      <t xml:space="preserve">（純</t>
    </r>
    <r>
      <rPr>
        <b val="true"/>
        <sz val="10"/>
        <rFont val="Arial"/>
        <family val="0"/>
        <charset val="1"/>
      </rPr>
      <t xml:space="preserve">LLM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</si>
  <si>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不建議設為預設；建議僅列為進階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選用模式，或視資源評估是否下線</t>
    </r>
  </si>
  <si>
    <r>
      <rPr>
        <sz val="10"/>
        <rFont val="Noto Sans CJK SC"/>
        <family val="2"/>
      </rPr>
      <t xml:space="preserve">耗時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影片長度比達</t>
    </r>
    <r>
      <rPr>
        <sz val="10"/>
        <rFont val="Arial"/>
        <family val="0"/>
        <charset val="1"/>
      </rPr>
      <t xml:space="preserve">136%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01.mkv</t>
    </r>
    <r>
      <rPr>
        <sz val="10"/>
        <rFont val="Noto Sans CJK SC"/>
        <family val="2"/>
      </rPr>
      <t xml:space="preserve">）與</t>
    </r>
    <r>
      <rPr>
        <sz val="10"/>
        <rFont val="Arial"/>
        <family val="0"/>
        <charset val="1"/>
      </rPr>
      <t xml:space="preserve">233%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02.mp4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02.mp4</t>
    </r>
    <r>
      <rPr>
        <sz val="10"/>
        <rFont val="Noto Sans CJK SC"/>
        <family val="2"/>
      </rPr>
      <t xml:space="preserve">實測逾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分鐘後</t>
    </r>
    <r>
      <rPr>
        <sz val="10"/>
        <rFont val="Arial"/>
        <family val="0"/>
        <charset val="1"/>
      </rPr>
      <t xml:space="preserve">Ollama</t>
    </r>
    <r>
      <rPr>
        <sz val="10"/>
        <rFont val="Noto Sans CJK SC"/>
        <family val="2"/>
      </rPr>
      <t xml:space="preserve">直接</t>
    </r>
    <r>
      <rPr>
        <sz val="10"/>
        <rFont val="Arial"/>
        <family val="0"/>
        <charset val="1"/>
      </rPr>
      <t xml:space="preserve">timeout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筆輸出；即使成功仍有</t>
    </r>
    <r>
      <rPr>
        <sz val="10"/>
        <rFont val="Arial"/>
        <family val="0"/>
        <charset val="1"/>
      </rPr>
      <t xml:space="preserve">37.8%</t>
    </r>
    <r>
      <rPr>
        <sz val="10"/>
        <rFont val="Noto Sans CJK SC"/>
        <family val="2"/>
      </rPr>
      <t xml:space="preserve">翻譯留白、且無字典兜底</t>
    </r>
  </si>
  <si>
    <r>
      <rPr>
        <i val="true"/>
        <sz val="9"/>
        <color rgb="FF808080"/>
        <rFont val="Noto Sans CJK SC"/>
        <family val="2"/>
      </rPr>
      <t xml:space="preserve">本次真實測試 </t>
    </r>
    <r>
      <rPr>
        <i val="true"/>
        <sz val="9"/>
        <color rgb="FF808080"/>
        <rFont val="Arial"/>
        <family val="0"/>
        <charset val="1"/>
      </rPr>
      <t xml:space="preserve">finaltest/02_status.json</t>
    </r>
    <r>
      <rPr>
        <i val="true"/>
        <sz val="9"/>
        <color rgb="FF808080"/>
        <rFont val="Noto Sans CJK SC"/>
        <family val="2"/>
      </rPr>
      <t xml:space="preserve">、</t>
    </r>
    <r>
      <rPr>
        <i val="true"/>
        <sz val="9"/>
        <color rgb="FF808080"/>
        <rFont val="Arial"/>
        <family val="0"/>
        <charset val="1"/>
      </rPr>
      <t xml:space="preserve">finaltest/01_result/channel2/export.csv</t>
    </r>
  </si>
  <si>
    <t xml:space="preserve">建議最終管線</t>
  </si>
  <si>
    <r>
      <rPr>
        <b val="true"/>
        <sz val="10"/>
        <rFont val="Arial"/>
        <family val="0"/>
        <charset val="1"/>
      </rPr>
      <t xml:space="preserve">Phase1</t>
    </r>
    <r>
      <rPr>
        <b val="true"/>
        <sz val="10"/>
        <rFont val="Noto Sans CJK SC"/>
        <family val="2"/>
      </rPr>
      <t xml:space="preserve">擷取 → </t>
    </r>
    <r>
      <rPr>
        <b val="true"/>
        <sz val="10"/>
        <rFont val="Arial"/>
        <family val="0"/>
        <charset val="1"/>
      </rPr>
      <t xml:space="preserve">Phase2</t>
    </r>
    <r>
      <rPr>
        <b val="true"/>
        <sz val="10"/>
        <rFont val="Noto Sans CJK SC"/>
        <family val="2"/>
      </rPr>
      <t xml:space="preserve">前處理</t>
    </r>
    <r>
      <rPr>
        <b val="true"/>
        <sz val="10"/>
        <rFont val="Arial"/>
        <family val="0"/>
        <charset val="1"/>
      </rPr>
      <t xml:space="preserve">(denoise OFF) → Phase3 OCR → Phase4</t>
    </r>
    <r>
      <rPr>
        <b val="true"/>
        <sz val="10"/>
        <rFont val="Noto Sans CJK SC"/>
        <family val="2"/>
      </rPr>
      <t xml:space="preserve">時序去重 → </t>
    </r>
    <r>
      <rPr>
        <b val="true"/>
        <sz val="10"/>
        <rFont val="Arial"/>
        <family val="0"/>
        <charset val="1"/>
      </rPr>
      <t xml:space="preserve">Channel1(Komoran) → CSV/Anki</t>
    </r>
    <r>
      <rPr>
        <b val="true"/>
        <sz val="10"/>
        <rFont val="Noto Sans CJK SC"/>
        <family val="2"/>
      </rPr>
      <t xml:space="preserve">匯出</t>
    </r>
  </si>
  <si>
    <t xml:space="preserve">預期時間預算比</t>
  </si>
  <si>
    <r>
      <rPr>
        <i val="true"/>
        <sz val="9"/>
        <color rgb="FF808080"/>
        <rFont val="Noto Sans CJK SC"/>
        <family val="2"/>
      </rPr>
      <t xml:space="preserve">＊此為本次「</t>
    </r>
    <r>
      <rPr>
        <i val="true"/>
        <sz val="9"/>
        <color rgb="FF808080"/>
        <rFont val="Arial"/>
        <family val="0"/>
        <charset val="1"/>
      </rPr>
      <t xml:space="preserve">denoise on</t>
    </r>
    <r>
      <rPr>
        <i val="true"/>
        <sz val="9"/>
        <color rgb="FF808080"/>
        <rFont val="Noto Sans CJK SC"/>
        <family val="2"/>
      </rPr>
      <t xml:space="preserve">」實測值（</t>
    </r>
    <r>
      <rPr>
        <i val="true"/>
        <sz val="9"/>
        <color rgb="FF808080"/>
        <rFont val="Arial"/>
        <family val="0"/>
        <charset val="1"/>
      </rPr>
      <t xml:space="preserve">Komoran</t>
    </r>
    <r>
      <rPr>
        <i val="true"/>
        <sz val="9"/>
        <color rgb="FF808080"/>
        <rFont val="Noto Sans CJK SC"/>
        <family val="2"/>
      </rPr>
      <t xml:space="preserve">平均</t>
    </r>
    <r>
      <rPr>
        <i val="true"/>
        <sz val="9"/>
        <color rgb="FF808080"/>
        <rFont val="Arial"/>
        <family val="0"/>
        <charset val="1"/>
      </rPr>
      <t xml:space="preserve">~67%</t>
    </r>
    <r>
      <rPr>
        <i val="true"/>
        <sz val="9"/>
        <color rgb="FF808080"/>
        <rFont val="Noto Sans CJK SC"/>
        <family val="2"/>
      </rPr>
      <t xml:space="preserve">）；</t>
    </r>
    <r>
      <rPr>
        <i val="true"/>
        <sz val="9"/>
        <color rgb="FF808080"/>
        <rFont val="Arial"/>
        <family val="0"/>
        <charset val="1"/>
      </rPr>
      <t xml:space="preserve">denoise </t>
    </r>
    <r>
      <rPr>
        <i val="true"/>
        <sz val="9"/>
        <color rgb="FF808080"/>
        <rFont val="Noto Sans CJK SC"/>
        <family val="2"/>
      </rPr>
      <t xml:space="preserve">關閉後 </t>
    </r>
    <r>
      <rPr>
        <i val="true"/>
        <sz val="9"/>
        <color rgb="FF808080"/>
        <rFont val="Arial"/>
        <family val="0"/>
        <charset val="1"/>
      </rPr>
      <t xml:space="preserve">Phase2 </t>
    </r>
    <r>
      <rPr>
        <i val="true"/>
        <sz val="9"/>
        <color rgb="FF808080"/>
        <rFont val="Noto Sans CJK SC"/>
        <family val="2"/>
      </rPr>
      <t xml:space="preserve">成本大幅下降，實際比例會再更低，更加符合「影片長度時間內」目標。</t>
    </r>
  </si>
  <si>
    <r>
      <rPr>
        <b val="true"/>
        <sz val="14"/>
        <color rgb="FF1F4E78"/>
        <rFont val="Arial"/>
        <family val="0"/>
        <charset val="1"/>
      </rPr>
      <t xml:space="preserve">Phase 9 </t>
    </r>
    <r>
      <rPr>
        <b val="true"/>
        <sz val="14"/>
        <color rgb="FF1F4E78"/>
        <rFont val="Noto Sans CJK SC"/>
        <family val="2"/>
      </rPr>
      <t xml:space="preserve">最終測試：原始數據</t>
    </r>
  </si>
  <si>
    <r>
      <rPr>
        <i val="true"/>
        <sz val="9"/>
        <color rgb="FF666666"/>
        <rFont val="Noto Sans CJK SC"/>
        <family val="2"/>
      </rPr>
      <t xml:space="preserve">資料來源：</t>
    </r>
    <r>
      <rPr>
        <i val="true"/>
        <sz val="9"/>
        <color rgb="FF666666"/>
        <rFont val="Arial"/>
        <family val="0"/>
        <charset val="1"/>
      </rPr>
      <t xml:space="preserve">finaltest/01_status.json</t>
    </r>
    <r>
      <rPr>
        <i val="true"/>
        <sz val="9"/>
        <color rgb="FF666666"/>
        <rFont val="Noto Sans CJK SC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finaltest/02_status.json</t>
    </r>
    <r>
      <rPr>
        <i val="true"/>
        <sz val="9"/>
        <color rgb="FF666666"/>
        <rFont val="Noto Sans CJK SC"/>
        <family val="2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finaltest/0X_result/stats/*_report.csv</t>
    </r>
    <r>
      <rPr>
        <i val="true"/>
        <sz val="9"/>
        <color rgb="FF666666"/>
        <rFont val="Noto Sans CJK SC"/>
        <family val="2"/>
      </rPr>
      <t xml:space="preserve">（皆為使用者本機真實 </t>
    </r>
    <r>
      <rPr>
        <i val="true"/>
        <sz val="9"/>
        <color rgb="FF666666"/>
        <rFont val="Arial"/>
        <family val="0"/>
        <charset val="1"/>
      </rPr>
      <t xml:space="preserve">GPU + Ollama </t>
    </r>
    <r>
      <rPr>
        <i val="true"/>
        <sz val="9"/>
        <color rgb="FF666666"/>
        <rFont val="Noto Sans CJK SC"/>
        <family val="2"/>
      </rPr>
      <t xml:space="preserve">執行結果，</t>
    </r>
    <r>
      <rPr>
        <i val="true"/>
        <sz val="9"/>
        <color rgb="FF666666"/>
        <rFont val="Arial"/>
        <family val="0"/>
        <charset val="1"/>
      </rPr>
      <t xml:space="preserve">2026-08-29</t>
    </r>
    <r>
      <rPr>
        <i val="true"/>
        <sz val="9"/>
        <color rgb="FF666666"/>
        <rFont val="Noto Sans CJK SC"/>
        <family val="2"/>
      </rPr>
      <t xml:space="preserve">，非模擬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非估算）</t>
    </r>
  </si>
  <si>
    <t xml:space="preserve">影片</t>
  </si>
  <si>
    <r>
      <rPr>
        <b val="true"/>
        <sz val="10"/>
        <color rgb="FFFFFFFF"/>
        <rFont val="Noto Sans CJK SC"/>
        <family val="2"/>
      </rPr>
      <t xml:space="preserve">影片時長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</si>
  <si>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通道</t>
  </si>
  <si>
    <r>
      <rPr>
        <b val="true"/>
        <sz val="10"/>
        <color rgb="FFFFFFFF"/>
        <rFont val="Arial"/>
        <family val="0"/>
        <charset val="1"/>
      </rPr>
      <t xml:space="preserve">Phase1</t>
    </r>
    <r>
      <rPr>
        <b val="true"/>
        <sz val="10"/>
        <color rgb="FFFFFFFF"/>
        <rFont val="Noto Sans CJK SC"/>
        <family val="2"/>
      </rPr>
      <t xml:space="preserve">擷取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</si>
  <si>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Phase2</t>
    </r>
    <r>
      <rPr>
        <b val="true"/>
        <sz val="10"/>
        <color rgb="FFFFFFFF"/>
        <rFont val="Noto Sans CJK SC"/>
        <family val="2"/>
      </rPr>
      <t xml:space="preserve">前處理
</t>
    </r>
    <r>
      <rPr>
        <b val="true"/>
        <sz val="10"/>
        <color rgb="FFFFFFFF"/>
        <rFont val="Arial"/>
        <family val="0"/>
        <charset val="1"/>
      </rPr>
      <t xml:space="preserve">denoise_on(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</si>
  <si>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GPU</t>
    </r>
    <r>
      <rPr>
        <b val="true"/>
        <sz val="10"/>
        <color rgb="FFFFFFFF"/>
        <rFont val="Noto Sans CJK SC"/>
        <family val="2"/>
      </rPr>
      <t xml:space="preserve">檢查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</si>
  <si>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Phase3 OCR(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</si>
  <si>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通道自身耗時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</si>
  <si>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總管線耗時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</si>
  <si>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時間預算比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總耗時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影片時長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</si>
  <si>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詞彙數</t>
  </si>
  <si>
    <t xml:space="preserve">字典命中數</t>
  </si>
  <si>
    <t xml:space="preserve">字典命中率</t>
  </si>
  <si>
    <r>
      <rPr>
        <b val="true"/>
        <sz val="10"/>
        <color rgb="FFFFFFFF"/>
        <rFont val="Arial"/>
        <family val="0"/>
        <charset val="1"/>
      </rPr>
      <t xml:space="preserve">LLM</t>
    </r>
    <r>
      <rPr>
        <b val="true"/>
        <sz val="10"/>
        <color rgb="FFFFFFFF"/>
        <rFont val="Noto Sans CJK SC"/>
        <family val="2"/>
      </rPr>
      <t xml:space="preserve">呼叫次數</t>
    </r>
  </si>
  <si>
    <r>
      <rPr>
        <b val="true"/>
        <sz val="10"/>
        <color rgb="FFFFFFFF"/>
        <rFont val="Arial"/>
        <family val="0"/>
        <charset val="1"/>
      </rPr>
      <t xml:space="preserve">Fallback</t>
    </r>
    <r>
      <rPr>
        <b val="true"/>
        <sz val="10"/>
        <color rgb="FFFFFFFF"/>
        <rFont val="Noto Sans CJK SC"/>
        <family val="2"/>
      </rPr>
      <t xml:space="preserve">成功</t>
    </r>
  </si>
  <si>
    <r>
      <rPr>
        <b val="true"/>
        <sz val="10"/>
        <color rgb="FFFFFFFF"/>
        <rFont val="Arial"/>
        <family val="0"/>
        <charset val="1"/>
      </rPr>
      <t xml:space="preserve">Fallback</t>
    </r>
    <r>
      <rPr>
        <b val="true"/>
        <sz val="10"/>
        <color rgb="FFFFFFFF"/>
        <rFont val="Noto Sans CJK SC"/>
        <family val="2"/>
      </rPr>
      <t xml:space="preserve">失敗</t>
    </r>
  </si>
  <si>
    <r>
      <rPr>
        <b val="true"/>
        <sz val="10"/>
        <color rgb="FFFFFFFF"/>
        <rFont val="Arial"/>
        <family val="0"/>
        <charset val="1"/>
      </rPr>
      <t xml:space="preserve">Fallback</t>
    </r>
    <r>
      <rPr>
        <b val="true"/>
        <sz val="10"/>
        <color rgb="FFFFFFFF"/>
        <rFont val="Noto Sans CJK SC"/>
        <family val="2"/>
      </rPr>
      <t xml:space="preserve">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</si>
  <si>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狀態</t>
  </si>
  <si>
    <r>
      <rPr>
        <b val="true"/>
        <sz val="10"/>
        <color rgb="FFFFFFFF"/>
        <rFont val="Noto Sans CJK SC"/>
        <family val="2"/>
      </rPr>
      <t xml:space="preserve">備註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來源</t>
    </r>
  </si>
  <si>
    <t xml:space="preserve">01.mkv</t>
  </si>
  <si>
    <t xml:space="preserve">Channel1-Okt</t>
  </si>
  <si>
    <t xml:space="preserve">完成</t>
  </si>
  <si>
    <t xml:space="preserve">stats/channel1_okt_report.csv</t>
  </si>
  <si>
    <t xml:space="preserve">Channel1-Komoran</t>
  </si>
  <si>
    <t xml:space="preserve">stats/channel1_komoran_report.csv</t>
  </si>
  <si>
    <t xml:space="preserve">Channel1-Kkma</t>
  </si>
  <si>
    <t xml:space="preserve">stats/channel1_kkma_report.csv</t>
  </si>
  <si>
    <t xml:space="preserve">Channel1-Mecab</t>
  </si>
  <si>
    <t xml:space="preserve">stats/channel1_mecab_report.csv</t>
  </si>
  <si>
    <t xml:space="preserve">Channel2</t>
  </si>
  <si>
    <r>
      <rPr>
        <i val="true"/>
        <sz val="9"/>
        <color rgb="FF808080"/>
        <rFont val="Arial"/>
        <family val="0"/>
        <charset val="1"/>
      </rPr>
      <t xml:space="preserve">stats/channel2_report.csv</t>
    </r>
    <r>
      <rPr>
        <i val="true"/>
        <sz val="9"/>
        <color rgb="FF808080"/>
        <rFont val="Noto Sans CJK SC"/>
        <family val="2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dict_hit_count </t>
    </r>
    <r>
      <rPr>
        <i val="true"/>
        <sz val="9"/>
        <color rgb="FF808080"/>
        <rFont val="Noto Sans CJK SC"/>
        <family val="2"/>
      </rPr>
      <t xml:space="preserve">對 </t>
    </r>
    <r>
      <rPr>
        <i val="true"/>
        <sz val="9"/>
        <color rgb="FF808080"/>
        <rFont val="Arial"/>
        <family val="0"/>
        <charset val="1"/>
      </rPr>
      <t xml:space="preserve">Channel2 </t>
    </r>
    <r>
      <rPr>
        <i val="true"/>
        <sz val="9"/>
        <color rgb="FF808080"/>
        <rFont val="Noto Sans CJK SC"/>
        <family val="2"/>
      </rPr>
      <t xml:space="preserve">意義為「非空白翻譯數」，非字典比對）</t>
    </r>
  </si>
  <si>
    <t xml:space="preserve">Channel3</t>
  </si>
  <si>
    <t xml:space="preserve">stats/channel3_report.csv</t>
  </si>
  <si>
    <t xml:space="preserve">02.mp4</t>
  </si>
  <si>
    <r>
      <rPr>
        <b val="true"/>
        <sz val="10"/>
        <color rgb="FFC00000"/>
        <rFont val="Noto Sans CJK SC"/>
        <family val="2"/>
      </rPr>
      <t xml:space="preserve">失敗（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筆輸出）</t>
    </r>
  </si>
  <si>
    <r>
      <rPr>
        <i val="true"/>
        <sz val="9"/>
        <color rgb="FF808080"/>
        <rFont val="Arial"/>
        <family val="0"/>
        <charset val="1"/>
      </rPr>
      <t xml:space="preserve">02_status.json</t>
    </r>
    <r>
      <rPr>
        <i val="true"/>
        <sz val="9"/>
        <color rgb="FF808080"/>
        <rFont val="Noto Sans CJK SC"/>
        <family val="2"/>
      </rPr>
      <t xml:space="preserve">：</t>
    </r>
    <r>
      <rPr>
        <i val="true"/>
        <sz val="9"/>
        <color rgb="FF808080"/>
        <rFont val="Arial"/>
        <family val="0"/>
        <charset val="1"/>
      </rPr>
      <t xml:space="preserve">ReadTimeout: HTTPConnectionPool(host='localhost', port=11434): Read timed out. (read timeout=60.0)</t>
    </r>
  </si>
  <si>
    <r>
      <rPr>
        <b val="true"/>
        <sz val="14"/>
        <color rgb="FF1F4E78"/>
        <rFont val="Arial"/>
        <family val="0"/>
        <charset val="1"/>
      </rPr>
      <t xml:space="preserve">Channel 1</t>
    </r>
    <r>
      <rPr>
        <b val="true"/>
        <sz val="14"/>
        <color rgb="FF1F4E78"/>
        <rFont val="Noto Sans CJK SC"/>
        <family val="2"/>
      </rPr>
      <t xml:space="preserve">：四個子引擎比較（</t>
    </r>
    <r>
      <rPr>
        <b val="true"/>
        <sz val="14"/>
        <color rgb="FF1F4E78"/>
        <rFont val="Arial"/>
        <family val="0"/>
        <charset val="1"/>
      </rPr>
      <t xml:space="preserve">Okt</t>
    </r>
    <r>
      <rPr>
        <b val="true"/>
        <sz val="14"/>
        <color rgb="FF1F4E78"/>
        <rFont val="Noto Sans CJK SC"/>
        <family val="2"/>
      </rPr>
      <t xml:space="preserve">／</t>
    </r>
    <r>
      <rPr>
        <b val="true"/>
        <sz val="14"/>
        <color rgb="FF1F4E78"/>
        <rFont val="Arial"/>
        <family val="0"/>
        <charset val="1"/>
      </rPr>
      <t xml:space="preserve">Komoran</t>
    </r>
    <r>
      <rPr>
        <b val="true"/>
        <sz val="14"/>
        <color rgb="FF1F4E78"/>
        <rFont val="Noto Sans CJK SC"/>
        <family val="2"/>
      </rPr>
      <t xml:space="preserve">／</t>
    </r>
    <r>
      <rPr>
        <b val="true"/>
        <sz val="14"/>
        <color rgb="FF1F4E78"/>
        <rFont val="Arial"/>
        <family val="0"/>
        <charset val="1"/>
      </rPr>
      <t xml:space="preserve">Kkma</t>
    </r>
    <r>
      <rPr>
        <b val="true"/>
        <sz val="14"/>
        <color rgb="FF1F4E78"/>
        <rFont val="Noto Sans CJK SC"/>
        <family val="2"/>
      </rPr>
      <t xml:space="preserve">／</t>
    </r>
    <r>
      <rPr>
        <b val="true"/>
        <sz val="14"/>
        <color rgb="FF1F4E78"/>
        <rFont val="Arial"/>
        <family val="0"/>
        <charset val="1"/>
      </rPr>
      <t xml:space="preserve">Mecab-ko</t>
    </r>
    <r>
      <rPr>
        <b val="true"/>
        <sz val="14"/>
        <color rgb="FF1F4E78"/>
        <rFont val="Noto Sans CJK SC"/>
        <family val="2"/>
      </rPr>
      <t xml:space="preserve">）</t>
    </r>
  </si>
  <si>
    <t xml:space="preserve">字典命中率＝該引擎斷詞後，能在字典查到翻譯的詞彙比例；數字越高代表辨識輸出可用性越高。</t>
  </si>
  <si>
    <t xml:space="preserve">引擎</t>
  </si>
  <si>
    <r>
      <rPr>
        <b val="true"/>
        <sz val="10"/>
        <color rgb="FFFFFFFF"/>
        <rFont val="Arial"/>
        <family val="0"/>
        <charset val="1"/>
      </rPr>
      <t xml:space="preserve">01.mkv </t>
    </r>
    <r>
      <rPr>
        <b val="true"/>
        <sz val="10"/>
        <color rgb="FFFFFFFF"/>
        <rFont val="Noto Sans CJK SC"/>
        <family val="2"/>
      </rPr>
      <t xml:space="preserve">詞彙數</t>
    </r>
  </si>
  <si>
    <r>
      <rPr>
        <b val="true"/>
        <sz val="10"/>
        <color rgb="FFFFFFFF"/>
        <rFont val="Arial"/>
        <family val="0"/>
        <charset val="1"/>
      </rPr>
      <t xml:space="preserve">01.mkv </t>
    </r>
    <r>
      <rPr>
        <b val="true"/>
        <sz val="10"/>
        <color rgb="FFFFFFFF"/>
        <rFont val="Noto Sans CJK SC"/>
        <family val="2"/>
      </rPr>
      <t xml:space="preserve">命中數</t>
    </r>
  </si>
  <si>
    <r>
      <rPr>
        <b val="true"/>
        <sz val="10"/>
        <color rgb="FFFFFFFF"/>
        <rFont val="Arial"/>
        <family val="0"/>
        <charset val="1"/>
      </rPr>
      <t xml:space="preserve">01.mkv </t>
    </r>
    <r>
      <rPr>
        <b val="true"/>
        <sz val="10"/>
        <color rgb="FFFFFFFF"/>
        <rFont val="Noto Sans CJK SC"/>
        <family val="2"/>
      </rPr>
      <t xml:space="preserve">命中率</t>
    </r>
  </si>
  <si>
    <r>
      <rPr>
        <b val="true"/>
        <sz val="10"/>
        <color rgb="FFFFFFFF"/>
        <rFont val="Arial"/>
        <family val="0"/>
        <charset val="1"/>
      </rPr>
      <t xml:space="preserve">02.mp4 </t>
    </r>
    <r>
      <rPr>
        <b val="true"/>
        <sz val="10"/>
        <color rgb="FFFFFFFF"/>
        <rFont val="Noto Sans CJK SC"/>
        <family val="2"/>
      </rPr>
      <t xml:space="preserve">詞彙數</t>
    </r>
  </si>
  <si>
    <r>
      <rPr>
        <b val="true"/>
        <sz val="10"/>
        <color rgb="FFFFFFFF"/>
        <rFont val="Arial"/>
        <family val="0"/>
        <charset val="1"/>
      </rPr>
      <t xml:space="preserve">02.mp4 </t>
    </r>
    <r>
      <rPr>
        <b val="true"/>
        <sz val="10"/>
        <color rgb="FFFFFFFF"/>
        <rFont val="Noto Sans CJK SC"/>
        <family val="2"/>
      </rPr>
      <t xml:space="preserve">命中數</t>
    </r>
  </si>
  <si>
    <r>
      <rPr>
        <b val="true"/>
        <sz val="10"/>
        <color rgb="FFFFFFFF"/>
        <rFont val="Arial"/>
        <family val="0"/>
        <charset val="1"/>
      </rPr>
      <t xml:space="preserve">02.mp4 </t>
    </r>
    <r>
      <rPr>
        <b val="true"/>
        <sz val="10"/>
        <color rgb="FFFFFFFF"/>
        <rFont val="Noto Sans CJK SC"/>
        <family val="2"/>
      </rPr>
      <t xml:space="preserve">命中率</t>
    </r>
  </si>
  <si>
    <r>
      <rPr>
        <b val="true"/>
        <sz val="10"/>
        <color rgb="FFFFFFFF"/>
        <rFont val="Noto Sans CJK SC"/>
        <family val="2"/>
      </rPr>
      <t xml:space="preserve">本次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支影片加權命中率</t>
    </r>
  </si>
  <si>
    <r>
      <rPr>
        <b val="true"/>
        <sz val="10"/>
        <color rgb="FFFFFFFF"/>
        <rFont val="Noto Sans CJK SC"/>
        <family val="2"/>
      </rPr>
      <t xml:space="preserve">歷史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支影片加權命中率</t>
    </r>
  </si>
  <si>
    <t xml:space="preserve">平均時間預算比</t>
  </si>
  <si>
    <t xml:space="preserve">備註</t>
  </si>
  <si>
    <t xml:space="preserve">Okt</t>
  </si>
  <si>
    <t xml:space="preserve">Komoran</t>
  </si>
  <si>
    <t xml:space="preserve">Kkma</t>
  </si>
  <si>
    <t xml:space="preserve">Mecab</t>
  </si>
  <si>
    <t xml:space="preserve">結論</t>
  </si>
  <si>
    <r>
      <rPr>
        <sz val="10"/>
        <rFont val="Arial"/>
        <family val="0"/>
        <charset val="1"/>
      </rPr>
      <t xml:space="preserve">Komoran </t>
    </r>
    <r>
      <rPr>
        <sz val="10"/>
        <rFont val="Noto Sans CJK SC"/>
        <family val="2"/>
      </rPr>
      <t xml:space="preserve">在「本次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支真實影片」與「歷史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支真實影片」兩組獨立資料中皆排名第一（</t>
    </r>
    <r>
      <rPr>
        <sz val="10"/>
        <rFont val="Arial"/>
        <family val="0"/>
        <charset val="1"/>
      </rPr>
      <t xml:space="preserve">86.4% / 86.5%</t>
    </r>
    <r>
      <rPr>
        <sz val="10"/>
        <rFont val="Noto Sans CJK SC"/>
        <family val="2"/>
      </rPr>
      <t xml:space="preserve">），四引擎間耗時差異僅數秒（相對總管線耗時 </t>
    </r>
    <r>
      <rPr>
        <sz val="10"/>
        <rFont val="Arial"/>
        <family val="0"/>
        <charset val="1"/>
      </rPr>
      <t xml:space="preserve">&lt;3%</t>
    </r>
    <r>
      <rPr>
        <sz val="10"/>
        <rFont val="Noto Sans CJK SC"/>
        <family val="2"/>
      </rPr>
      <t xml:space="preserve">），可視為純粹的準確率決策：建議選 </t>
    </r>
    <r>
      <rPr>
        <sz val="10"/>
        <rFont val="Arial"/>
        <family val="0"/>
        <charset val="1"/>
      </rPr>
      <t xml:space="preserve">Komoran </t>
    </r>
    <r>
      <rPr>
        <sz val="10"/>
        <rFont val="Noto Sans CJK SC"/>
        <family val="2"/>
      </rPr>
      <t xml:space="preserve">作為 </t>
    </r>
    <r>
      <rPr>
        <sz val="10"/>
        <rFont val="Arial"/>
        <family val="0"/>
        <charset val="1"/>
      </rPr>
      <t xml:space="preserve">Channel 1 </t>
    </r>
    <r>
      <rPr>
        <sz val="10"/>
        <rFont val="Noto Sans CJK SC"/>
        <family val="2"/>
      </rPr>
      <t xml:space="preserve">唯一預設引擎。</t>
    </r>
  </si>
  <si>
    <r>
      <rPr>
        <b val="true"/>
        <sz val="14"/>
        <color rgb="FF1F4E78"/>
        <rFont val="Arial"/>
        <family val="0"/>
        <charset val="1"/>
      </rPr>
      <t xml:space="preserve">Channel 2</t>
    </r>
    <r>
      <rPr>
        <b val="true"/>
        <sz val="14"/>
        <color rgb="FF1F4E78"/>
        <rFont val="Noto Sans CJK SC"/>
        <family val="2"/>
      </rPr>
      <t xml:space="preserve">（純 </t>
    </r>
    <r>
      <rPr>
        <b val="true"/>
        <sz val="14"/>
        <color rgb="FF1F4E78"/>
        <rFont val="Arial"/>
        <family val="0"/>
        <charset val="1"/>
      </rPr>
      <t xml:space="preserve">LLM</t>
    </r>
    <r>
      <rPr>
        <b val="true"/>
        <sz val="14"/>
        <color rgb="FF1F4E78"/>
        <rFont val="Noto Sans CJK SC"/>
        <family val="2"/>
      </rPr>
      <t xml:space="preserve">）與 </t>
    </r>
    <r>
      <rPr>
        <b val="true"/>
        <sz val="14"/>
        <color rgb="FF1F4E78"/>
        <rFont val="Arial"/>
        <family val="0"/>
        <charset val="1"/>
      </rPr>
      <t xml:space="preserve">Channel 3</t>
    </r>
    <r>
      <rPr>
        <b val="true"/>
        <sz val="14"/>
        <color rgb="FF1F4E78"/>
        <rFont val="Noto Sans CJK SC"/>
        <family val="2"/>
      </rPr>
      <t xml:space="preserve">（字典＋</t>
    </r>
    <r>
      <rPr>
        <b val="true"/>
        <sz val="14"/>
        <color rgb="FF1F4E78"/>
        <rFont val="Arial"/>
        <family val="0"/>
        <charset val="1"/>
      </rPr>
      <t xml:space="preserve">LLM fallback</t>
    </r>
    <r>
      <rPr>
        <b val="true"/>
        <sz val="14"/>
        <color rgb="FF1F4E78"/>
        <rFont val="Noto Sans CJK SC"/>
        <family val="2"/>
      </rPr>
      <t xml:space="preserve">）成本效益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</si>
  <si>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Channel 2 </t>
    </r>
    <r>
      <rPr>
        <b val="true"/>
        <sz val="10"/>
        <rFont val="Noto Sans CJK SC"/>
        <family val="2"/>
      </rPr>
      <t xml:space="preserve">可靠度與時間預算（本次真實測試）</t>
    </r>
  </si>
  <si>
    <r>
      <rPr>
        <b val="true"/>
        <sz val="10"/>
        <color rgb="FFFFFFFF"/>
        <rFont val="Arial"/>
        <family val="0"/>
        <charset val="1"/>
      </rPr>
      <t xml:space="preserve">Channel2 </t>
    </r>
    <r>
      <rPr>
        <b val="true"/>
        <sz val="10"/>
        <color rgb="FFFFFFFF"/>
        <rFont val="Noto Sans CJK SC"/>
        <family val="2"/>
      </rPr>
      <t xml:space="preserve">自身耗時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</si>
  <si>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含共用階段之總管線耗時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</si>
  <si>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總管線耗時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影片時長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與其他分頁「時間預算比」定義一致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</si>
  <si>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錯誤訊息</t>
  </si>
  <si>
    <r>
      <rPr>
        <b val="true"/>
        <sz val="10"/>
        <rFont val="Arial"/>
        <family val="0"/>
        <charset val="1"/>
      </rPr>
      <t xml:space="preserve">Channel2 </t>
    </r>
    <r>
      <rPr>
        <b val="true"/>
        <sz val="10"/>
        <rFont val="Noto Sans CJK SC"/>
        <family val="2"/>
      </rPr>
      <t xml:space="preserve">翻譯完整度抽樣（</t>
    </r>
    <r>
      <rPr>
        <b val="true"/>
        <sz val="10"/>
        <rFont val="Arial"/>
        <family val="0"/>
        <charset val="1"/>
      </rPr>
      <t xml:space="preserve">01.mkv</t>
    </r>
    <r>
      <rPr>
        <b val="true"/>
        <sz val="10"/>
        <rFont val="Noto Sans CJK SC"/>
        <family val="2"/>
      </rPr>
      <t xml:space="preserve">，唯一成功樣本）</t>
    </r>
  </si>
  <si>
    <r>
      <rPr>
        <i val="true"/>
        <sz val="9"/>
        <color rgb="FF808080"/>
        <rFont val="Noto Sans CJK SC"/>
        <family val="2"/>
      </rPr>
      <t xml:space="preserve">總詞數 </t>
    </r>
    <r>
      <rPr>
        <i val="true"/>
        <sz val="9"/>
        <color rgb="FF808080"/>
        <rFont val="Arial"/>
        <family val="0"/>
        <charset val="1"/>
      </rPr>
      <t xml:space="preserve">679</t>
    </r>
    <r>
      <rPr>
        <i val="true"/>
        <sz val="9"/>
        <color rgb="FF808080"/>
        <rFont val="Noto Sans CJK SC"/>
        <family val="2"/>
      </rPr>
      <t xml:space="preserve">，空白翻譯 </t>
    </r>
    <r>
      <rPr>
        <i val="true"/>
        <sz val="9"/>
        <color rgb="FF808080"/>
        <rFont val="Arial"/>
        <family val="0"/>
        <charset val="1"/>
      </rPr>
      <t xml:space="preserve">257</t>
    </r>
    <r>
      <rPr>
        <i val="true"/>
        <sz val="9"/>
        <color rgb="FF808080"/>
        <rFont val="Noto Sans CJK SC"/>
        <family val="2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37.8%</t>
    </r>
    <r>
      <rPr>
        <i val="true"/>
        <sz val="9"/>
        <color rgb="FF808080"/>
        <rFont val="Noto Sans CJK SC"/>
        <family val="2"/>
      </rPr>
      <t xml:space="preserve">）；抽樣非空白翻譯內容正常無亂碼；來源：</t>
    </r>
    <r>
      <rPr>
        <i val="true"/>
        <sz val="9"/>
        <color rgb="FF808080"/>
        <rFont val="Arial"/>
        <family val="0"/>
        <charset val="1"/>
      </rPr>
      <t xml:space="preserve">finaltest/01_result/channel2/export.csv </t>
    </r>
    <r>
      <rPr>
        <i val="true"/>
        <sz val="9"/>
        <color rgb="FF808080"/>
        <rFont val="Noto Sans CJK SC"/>
        <family val="2"/>
      </rPr>
      <t xml:space="preserve">直接讀取統計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</si>
  <si>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Channel 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Mecab </t>
    </r>
    <r>
      <rPr>
        <b val="true"/>
        <sz val="10"/>
        <rFont val="Noto Sans CJK SC"/>
        <family val="2"/>
      </rPr>
      <t xml:space="preserve">斷詞＋字典＋</t>
    </r>
    <r>
      <rPr>
        <b val="true"/>
        <sz val="10"/>
        <rFont val="Arial"/>
        <family val="0"/>
        <charset val="1"/>
      </rPr>
      <t xml:space="preserve">LLM fallback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vs Channel 1-Mecab </t>
    </r>
    <r>
      <rPr>
        <b val="true"/>
        <sz val="10"/>
        <rFont val="Noto Sans CJK SC"/>
        <family val="2"/>
      </rPr>
      <t xml:space="preserve">單獨：多花的時間換到多少準確率？</t>
    </r>
  </si>
  <si>
    <r>
      <rPr>
        <b val="true"/>
        <sz val="10"/>
        <color rgb="FFFFFFFF"/>
        <rFont val="Arial"/>
        <family val="0"/>
        <charset val="1"/>
      </rPr>
      <t xml:space="preserve">Mecab</t>
    </r>
    <r>
      <rPr>
        <b val="true"/>
        <sz val="10"/>
        <color rgb="FFFFFFFF"/>
        <rFont val="Noto Sans CJK SC"/>
        <family val="2"/>
      </rPr>
      <t xml:space="preserve">單獨命中率</t>
    </r>
  </si>
  <si>
    <r>
      <rPr>
        <b val="true"/>
        <sz val="10"/>
        <color rgb="FFFFFFFF"/>
        <rFont val="Arial"/>
        <family val="0"/>
        <charset val="1"/>
      </rPr>
      <t xml:space="preserve">Channel3</t>
    </r>
    <r>
      <rPr>
        <b val="true"/>
        <sz val="10"/>
        <color rgb="FFFFFFFF"/>
        <rFont val="Noto Sans CJK SC"/>
        <family val="2"/>
      </rPr>
      <t xml:space="preserve">命中率</t>
    </r>
  </si>
  <si>
    <r>
      <rPr>
        <b val="true"/>
        <sz val="10"/>
        <color rgb="FFFFFFFF"/>
        <rFont val="Noto Sans CJK SC"/>
        <family val="2"/>
      </rPr>
      <t xml:space="preserve">命中率增量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</si>
  <si>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Arial"/>
        <family val="0"/>
        <charset val="1"/>
      </rPr>
      <t xml:space="preserve">Fallback</t>
    </r>
    <r>
      <rPr>
        <b val="true"/>
        <sz val="10"/>
        <color rgb="FFFFFFFF"/>
        <rFont val="Noto Sans CJK SC"/>
        <family val="2"/>
      </rPr>
      <t xml:space="preserve">呼叫次數</t>
    </r>
  </si>
  <si>
    <r>
      <rPr>
        <b val="true"/>
        <sz val="10"/>
        <color rgb="FFFFFFFF"/>
        <rFont val="Arial"/>
        <family val="0"/>
        <charset val="1"/>
      </rPr>
      <t xml:space="preserve">Fallback</t>
    </r>
    <r>
      <rPr>
        <b val="true"/>
        <sz val="10"/>
        <color rgb="FFFFFFFF"/>
        <rFont val="Noto Sans CJK SC"/>
        <family val="2"/>
      </rPr>
      <t xml:space="preserve">成功數</t>
    </r>
  </si>
  <si>
    <r>
      <rPr>
        <b val="true"/>
        <sz val="10"/>
        <color rgb="FFFFFFFF"/>
        <rFont val="Arial"/>
        <family val="0"/>
        <charset val="1"/>
      </rPr>
      <t xml:space="preserve">Fallback</t>
    </r>
    <r>
      <rPr>
        <b val="true"/>
        <sz val="10"/>
        <color rgb="FFFFFFFF"/>
        <rFont val="Noto Sans CJK SC"/>
        <family val="2"/>
      </rPr>
      <t xml:space="preserve">成功率</t>
    </r>
  </si>
  <si>
    <r>
      <rPr>
        <b val="true"/>
        <sz val="10"/>
        <color rgb="FFFFFFFF"/>
        <rFont val="Arial"/>
        <family val="0"/>
        <charset val="1"/>
      </rPr>
      <t xml:space="preserve">Channel3</t>
    </r>
    <r>
      <rPr>
        <b val="true"/>
        <sz val="10"/>
        <color rgb="FFFFFFFF"/>
        <rFont val="Noto Sans CJK SC"/>
        <family val="2"/>
      </rPr>
      <t xml:space="preserve">自身耗時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</si>
  <si>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Mecab</t>
    </r>
    <r>
      <rPr>
        <b val="true"/>
        <sz val="10"/>
        <color rgb="FFFFFFFF"/>
        <rFont val="Noto Sans CJK SC"/>
        <family val="2"/>
      </rPr>
      <t xml:space="preserve">自身耗時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</si>
  <si>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耗時倍數</t>
    </r>
    <r>
      <rPr>
        <b val="true"/>
        <sz val="10"/>
        <color rgb="FFFFFFFF"/>
        <rFont val="Arial"/>
        <family val="0"/>
        <charset val="1"/>
      </rPr>
      <t xml:space="preserve">(Channel3/Mecab)</t>
    </r>
  </si>
  <si>
    <r>
      <rPr>
        <b val="true"/>
        <sz val="10"/>
        <rFont val="Noto Sans CJK SC"/>
        <family val="2"/>
      </rPr>
      <t xml:space="preserve">歷史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支影片參考（</t>
    </r>
    <r>
      <rPr>
        <b val="true"/>
        <sz val="10"/>
        <rFont val="Arial"/>
        <family val="0"/>
        <charset val="1"/>
      </rPr>
      <t xml:space="preserve">PROJECT_NOTES.md §13.12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</si>
  <si>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Fallback</t>
    </r>
    <r>
      <rPr>
        <sz val="10"/>
        <rFont val="Noto Sans CJK SC"/>
        <family val="2"/>
      </rPr>
      <t xml:space="preserve">總呼叫次數</t>
    </r>
  </si>
  <si>
    <r>
      <rPr>
        <sz val="10"/>
        <rFont val="Arial"/>
        <family val="0"/>
        <charset val="1"/>
      </rPr>
      <t xml:space="preserve">Fallback</t>
    </r>
    <r>
      <rPr>
        <sz val="10"/>
        <rFont val="Noto Sans CJK SC"/>
        <family val="2"/>
      </rPr>
      <t xml:space="preserve">成功數</t>
    </r>
  </si>
  <si>
    <t xml:space="preserve">成功率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</si>
  <si>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支影片加總多花時間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</si>
  <si>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Channel 2</t>
    </r>
    <r>
      <rPr>
        <sz val="10"/>
        <rFont val="Noto Sans CJK SC"/>
        <family val="2"/>
      </rPr>
      <t xml:space="preserve">：本次測試耗時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影片長度比達 </t>
    </r>
    <r>
      <rPr>
        <sz val="10"/>
        <rFont val="Arial"/>
        <family val="0"/>
        <charset val="1"/>
      </rPr>
      <t xml:space="preserve">136%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01.mkv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233%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02.mp4</t>
    </r>
    <r>
      <rPr>
        <sz val="10"/>
        <rFont val="Noto Sans CJK SC"/>
        <family val="2"/>
      </rPr>
      <t xml:space="preserve">，且 </t>
    </r>
    <r>
      <rPr>
        <sz val="10"/>
        <rFont val="Arial"/>
        <family val="0"/>
        <charset val="1"/>
      </rPr>
      <t xml:space="preserve">02.mp4 </t>
    </r>
    <r>
      <rPr>
        <sz val="10"/>
        <rFont val="Noto Sans CJK SC"/>
        <family val="2"/>
      </rPr>
      <t xml:space="preserve">逾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分鐘後直接 </t>
    </r>
    <r>
      <rPr>
        <sz val="10"/>
        <rFont val="Arial"/>
        <family val="0"/>
        <charset val="1"/>
      </rPr>
      <t xml:space="preserve">timeout </t>
    </r>
    <r>
      <rPr>
        <sz val="10"/>
        <rFont val="Noto Sans CJK SC"/>
        <family val="2"/>
      </rPr>
      <t xml:space="preserve">失敗、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筆輸出），完全不符合「在影片長度時間內」的目標，且無字典兜底機制。</t>
    </r>
    <r>
      <rPr>
        <sz val="10"/>
        <rFont val="Arial"/>
        <family val="0"/>
        <charset val="1"/>
      </rPr>
      <t xml:space="preserve">Channel 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fallback </t>
    </r>
    <r>
      <rPr>
        <sz val="10"/>
        <rFont val="Noto Sans CJK SC"/>
        <family val="2"/>
      </rPr>
      <t xml:space="preserve">成功率僅 </t>
    </r>
    <r>
      <rPr>
        <sz val="10"/>
        <rFont val="Arial"/>
        <family val="0"/>
        <charset val="1"/>
      </rPr>
      <t xml:space="preserve">1.1%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3.1%</t>
    </r>
    <r>
      <rPr>
        <sz val="10"/>
        <rFont val="Noto Sans CJK SC"/>
        <family val="2"/>
      </rPr>
      <t xml:space="preserve">（本次）／</t>
    </r>
    <r>
      <rPr>
        <sz val="10"/>
        <rFont val="Arial"/>
        <family val="0"/>
        <charset val="1"/>
      </rPr>
      <t xml:space="preserve">1.7%</t>
    </r>
    <r>
      <rPr>
        <sz val="10"/>
        <rFont val="Noto Sans CJK SC"/>
        <family val="2"/>
      </rPr>
      <t xml:space="preserve">（歷史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支影片），換來的字典命中率增量僅 </t>
    </r>
    <r>
      <rPr>
        <sz val="10"/>
        <rFont val="Arial"/>
        <family val="0"/>
        <charset val="1"/>
      </rPr>
      <t xml:space="preserve">+0.2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+0.6 </t>
    </r>
    <r>
      <rPr>
        <sz val="10"/>
        <rFont val="Noto Sans CJK SC"/>
        <family val="2"/>
      </rPr>
      <t xml:space="preserve">個百分點，但耗時卻是 </t>
    </r>
    <r>
      <rPr>
        <sz val="10"/>
        <rFont val="Arial"/>
        <family val="0"/>
        <charset val="1"/>
      </rPr>
      <t xml:space="preserve">Channel1-Mecab </t>
    </r>
    <r>
      <rPr>
        <sz val="10"/>
        <rFont val="Noto Sans CJK SC"/>
        <family val="2"/>
      </rPr>
      <t xml:space="preserve">單獨執行的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倍。兩者皆不建議設為預設管線。</t>
    </r>
  </si>
  <si>
    <r>
      <rPr>
        <b val="true"/>
        <sz val="10"/>
        <color rgb="FFFFFFFF"/>
        <rFont val="Arial"/>
        <family val="0"/>
        <charset val="1"/>
      </rPr>
      <t xml:space="preserve">01.mkv </t>
    </r>
    <r>
      <rPr>
        <b val="true"/>
        <sz val="10"/>
        <color rgb="FFFFFFFF"/>
        <rFont val="Noto Sans CJK SC"/>
        <family val="2"/>
      </rPr>
      <t xml:space="preserve">時間預算比</t>
    </r>
  </si>
  <si>
    <r>
      <rPr>
        <b val="true"/>
        <sz val="10"/>
        <color rgb="FFFFFFFF"/>
        <rFont val="Arial"/>
        <family val="0"/>
        <charset val="1"/>
      </rPr>
      <t xml:space="preserve">02.mp4 </t>
    </r>
    <r>
      <rPr>
        <b val="true"/>
        <sz val="10"/>
        <color rgb="FFFFFFFF"/>
        <rFont val="Noto Sans CJK SC"/>
        <family val="2"/>
      </rPr>
      <t xml:space="preserve">時間預算比</t>
    </r>
  </si>
  <si>
    <r>
      <rPr>
        <b val="true"/>
        <sz val="14"/>
        <color rgb="FF1F4E78"/>
        <rFont val="Arial"/>
        <family val="0"/>
        <charset val="1"/>
      </rPr>
      <t xml:space="preserve">Denoise</t>
    </r>
    <r>
      <rPr>
        <b val="true"/>
        <sz val="14"/>
        <color rgb="FF1F4E78"/>
        <rFont val="Noto Sans CJK SC"/>
        <family val="2"/>
      </rPr>
      <t xml:space="preserve">（去雜訊）開關最終評估</t>
    </r>
  </si>
  <si>
    <r>
      <rPr>
        <i val="true"/>
        <sz val="9"/>
        <color rgb="FF666666"/>
        <rFont val="Noto Sans CJK SC"/>
        <family val="2"/>
      </rPr>
      <t xml:space="preserve">決策規則（使用者於 </t>
    </r>
    <r>
      <rPr>
        <i val="true"/>
        <sz val="9"/>
        <color rgb="FF666666"/>
        <rFont val="Arial"/>
        <family val="0"/>
        <charset val="1"/>
      </rPr>
      <t xml:space="preserve">Phase 2 </t>
    </r>
    <r>
      <rPr>
        <i val="true"/>
        <sz val="9"/>
        <color rgb="FF666666"/>
        <rFont val="Noto Sans CJK SC"/>
        <family val="2"/>
      </rPr>
      <t xml:space="preserve">訂下，</t>
    </r>
    <r>
      <rPr>
        <i val="true"/>
        <sz val="9"/>
        <color rgb="FF666666"/>
        <rFont val="Arial"/>
        <family val="0"/>
        <charset val="1"/>
      </rPr>
      <t xml:space="preserve">PROJECT_NOTES.md §8 </t>
    </r>
    <r>
      <rPr>
        <i val="true"/>
        <sz val="9"/>
        <color rgb="FF666666"/>
        <rFont val="Noto Sans CJK SC"/>
        <family val="2"/>
      </rPr>
      <t xml:space="preserve">第 </t>
    </r>
    <r>
      <rPr>
        <i val="true"/>
        <sz val="9"/>
        <color rgb="FF666666"/>
        <rFont val="Arial"/>
        <family val="0"/>
        <charset val="1"/>
      </rPr>
      <t xml:space="preserve">3 </t>
    </r>
    <r>
      <rPr>
        <i val="true"/>
        <sz val="9"/>
        <color rgb="FF666666"/>
        <rFont val="Noto Sans CJK SC"/>
        <family val="2"/>
      </rPr>
      <t xml:space="preserve">點）：若去雜訊對辨識率的提升低於 </t>
    </r>
    <r>
      <rPr>
        <i val="true"/>
        <sz val="9"/>
        <color rgb="FF666666"/>
        <rFont val="Arial"/>
        <family val="0"/>
        <charset val="1"/>
      </rPr>
      <t xml:space="preserve">15%</t>
    </r>
    <r>
      <rPr>
        <i val="true"/>
        <sz val="9"/>
        <color rgb="FF666666"/>
        <rFont val="Noto Sans CJK SC"/>
        <family val="2"/>
      </rPr>
      <t xml:space="preserve">，之後就預設關閉。</t>
    </r>
  </si>
  <si>
    <r>
      <rPr>
        <b val="true"/>
        <sz val="10"/>
        <rFont val="Noto Sans CJK SC"/>
        <family val="2"/>
      </rPr>
      <t xml:space="preserve">一、真實 </t>
    </r>
    <r>
      <rPr>
        <b val="true"/>
        <sz val="10"/>
        <rFont val="Arial"/>
        <family val="0"/>
        <charset val="1"/>
      </rPr>
      <t xml:space="preserve">A/B </t>
    </r>
    <r>
      <rPr>
        <b val="true"/>
        <sz val="10"/>
        <rFont val="Noto Sans CJK SC"/>
        <family val="2"/>
      </rPr>
      <t xml:space="preserve">測試依據（</t>
    </r>
    <r>
      <rPr>
        <b val="true"/>
        <sz val="10"/>
        <rFont val="Arial"/>
        <family val="0"/>
        <charset val="1"/>
      </rPr>
      <t xml:space="preserve">001.mkv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619 </t>
    </r>
    <r>
      <rPr>
        <b val="true"/>
        <sz val="10"/>
        <rFont val="Noto Sans CJK SC"/>
        <family val="2"/>
      </rPr>
      <t xml:space="preserve">影格，</t>
    </r>
    <r>
      <rPr>
        <b val="true"/>
        <sz val="10"/>
        <rFont val="Arial"/>
        <family val="0"/>
        <charset val="1"/>
      </rPr>
      <t xml:space="preserve">2026-07-25</t>
    </r>
    <r>
      <rPr>
        <b val="true"/>
        <sz val="10"/>
        <rFont val="Noto Sans CJK SC"/>
        <family val="2"/>
      </rPr>
      <t xml:space="preserve">，真實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PROJECT_NOTES.md §12</t>
    </r>
    <r>
      <rPr>
        <b val="true"/>
        <sz val="10"/>
        <rFont val="Noto Sans CJK SC"/>
        <family val="2"/>
      </rPr>
      <t xml:space="preserve">）</t>
    </r>
  </si>
  <si>
    <t xml:space="preserve">denoise_on</t>
  </si>
  <si>
    <t xml:space="preserve">denoise_off</t>
  </si>
  <si>
    <t xml:space="preserve">差異</t>
  </si>
  <si>
    <t xml:space="preserve">說明</t>
  </si>
  <si>
    <t xml:space="preserve">偵測數量</t>
  </si>
  <si>
    <r>
      <rPr>
        <i val="true"/>
        <sz val="9"/>
        <color rgb="FF808080"/>
        <rFont val="Arial"/>
        <family val="0"/>
        <charset val="1"/>
      </rPr>
      <t xml:space="preserve">off </t>
    </r>
    <r>
      <rPr>
        <i val="true"/>
        <sz val="9"/>
        <color rgb="FF808080"/>
        <rFont val="Noto Sans CJK SC"/>
        <family val="2"/>
      </rPr>
      <t xml:space="preserve">多偵測到 </t>
    </r>
    <r>
      <rPr>
        <i val="true"/>
        <sz val="9"/>
        <color rgb="FF808080"/>
        <rFont val="Arial"/>
        <family val="0"/>
        <charset val="1"/>
      </rPr>
      <t xml:space="preserve">0.6%</t>
    </r>
  </si>
  <si>
    <t xml:space="preserve">平均信心分數</t>
  </si>
  <si>
    <r>
      <rPr>
        <i val="true"/>
        <sz val="9"/>
        <color rgb="FF808080"/>
        <rFont val="Arial"/>
        <family val="0"/>
        <charset val="1"/>
      </rPr>
      <t xml:space="preserve">on </t>
    </r>
    <r>
      <rPr>
        <i val="true"/>
        <sz val="9"/>
        <color rgb="FF808080"/>
        <rFont val="Noto Sans CJK SC"/>
        <family val="2"/>
      </rPr>
      <t xml:space="preserve">只比 </t>
    </r>
    <r>
      <rPr>
        <i val="true"/>
        <sz val="9"/>
        <color rgb="FF808080"/>
        <rFont val="Arial"/>
        <family val="0"/>
        <charset val="1"/>
      </rPr>
      <t xml:space="preserve">off </t>
    </r>
    <r>
      <rPr>
        <i val="true"/>
        <sz val="9"/>
        <color rgb="FF808080"/>
        <rFont val="Noto Sans CJK SC"/>
        <family val="2"/>
      </rPr>
      <t xml:space="preserve">高 </t>
    </r>
    <r>
      <rPr>
        <i val="true"/>
        <sz val="9"/>
        <color rgb="FF808080"/>
        <rFont val="Arial"/>
        <family val="0"/>
        <charset val="1"/>
      </rPr>
      <t xml:space="preserve">2.0%</t>
    </r>
    <r>
      <rPr>
        <i val="true"/>
        <sz val="9"/>
        <color rgb="FF808080"/>
        <rFont val="Noto Sans CJK SC"/>
        <family val="2"/>
      </rPr>
      <t xml:space="preserve">，遠低於 </t>
    </r>
    <r>
      <rPr>
        <i val="true"/>
        <sz val="9"/>
        <color rgb="FF808080"/>
        <rFont val="Arial"/>
        <family val="0"/>
        <charset val="1"/>
      </rPr>
      <t xml:space="preserve">15% </t>
    </r>
    <r>
      <rPr>
        <i val="true"/>
        <sz val="9"/>
        <color rgb="FF808080"/>
        <rFont val="Noto Sans CJK SC"/>
        <family val="2"/>
      </rPr>
      <t xml:space="preserve">門檻</t>
    </r>
  </si>
  <si>
    <r>
      <rPr>
        <sz val="10"/>
        <rFont val="Noto Sans CJK SC"/>
        <family val="2"/>
      </rPr>
      <t xml:space="preserve">低信心</t>
    </r>
    <r>
      <rPr>
        <sz val="10"/>
        <rFont val="Arial"/>
        <family val="0"/>
        <charset val="1"/>
      </rPr>
      <t xml:space="preserve">(&lt;0.5)</t>
    </r>
    <r>
      <rPr>
        <sz val="10"/>
        <rFont val="Noto Sans CJK SC"/>
        <family val="2"/>
      </rPr>
      <t xml:space="preserve">比例</t>
    </r>
  </si>
  <si>
    <r>
      <rPr>
        <i val="true"/>
        <sz val="9"/>
        <color rgb="FF808080"/>
        <rFont val="Arial"/>
        <family val="0"/>
        <charset val="1"/>
      </rPr>
      <t xml:space="preserve">off </t>
    </r>
    <r>
      <rPr>
        <i val="true"/>
        <sz val="9"/>
        <color rgb="FF808080"/>
        <rFont val="Noto Sans CJK SC"/>
        <family val="2"/>
      </rPr>
      <t xml:space="preserve">反而略低（更好）</t>
    </r>
  </si>
  <si>
    <r>
      <rPr>
        <sz val="10"/>
        <rFont val="Arial"/>
        <family val="0"/>
        <charset val="1"/>
      </rPr>
      <t xml:space="preserve">Phase1 </t>
    </r>
    <r>
      <rPr>
        <sz val="10"/>
        <rFont val="Noto Sans CJK SC"/>
        <family val="2"/>
      </rPr>
      <t xml:space="preserve">擷取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秒，共用</t>
    </r>
    <r>
      <rPr>
        <sz val="10"/>
        <rFont val="Arial"/>
        <family val="0"/>
        <charset val="1"/>
      </rPr>
      <t xml:space="preserve">)</t>
    </r>
  </si>
  <si>
    <t xml:space="preserve">兩版本共用，無差異</t>
  </si>
  <si>
    <r>
      <rPr>
        <sz val="10"/>
        <rFont val="Arial"/>
        <family val="0"/>
        <charset val="1"/>
      </rPr>
      <t xml:space="preserve">Phase2 </t>
    </r>
    <r>
      <rPr>
        <sz val="10"/>
        <rFont val="Noto Sans CJK SC"/>
        <family val="2"/>
      </rPr>
      <t xml:space="preserve">前處理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</si>
  <si>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on </t>
    </r>
    <r>
      <rPr>
        <i val="true"/>
        <sz val="9"/>
        <color rgb="FF808080"/>
        <rFont val="Noto Sans CJK SC"/>
        <family val="2"/>
      </rPr>
      <t xml:space="preserve">是 </t>
    </r>
    <r>
      <rPr>
        <i val="true"/>
        <sz val="9"/>
        <color rgb="FF808080"/>
        <rFont val="Arial"/>
        <family val="0"/>
        <charset val="1"/>
      </rPr>
      <t xml:space="preserve">off </t>
    </r>
    <r>
      <rPr>
        <i val="true"/>
        <sz val="9"/>
        <color rgb="FF808080"/>
        <rFont val="Noto Sans CJK SC"/>
        <family val="2"/>
      </rPr>
      <t xml:space="preserve">的倍數</t>
    </r>
  </si>
  <si>
    <r>
      <rPr>
        <sz val="10"/>
        <rFont val="Arial"/>
        <family val="0"/>
        <charset val="1"/>
      </rPr>
      <t xml:space="preserve">Phase3 OCR(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</si>
  <si>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幾乎相同，</t>
    </r>
    <r>
      <rPr>
        <i val="true"/>
        <sz val="9"/>
        <color rgb="FF808080"/>
        <rFont val="Arial"/>
        <family val="0"/>
        <charset val="1"/>
      </rPr>
      <t xml:space="preserve">OCR</t>
    </r>
    <r>
      <rPr>
        <i val="true"/>
        <sz val="9"/>
        <color rgb="FF808080"/>
        <rFont val="Noto Sans CJK SC"/>
        <family val="2"/>
      </rPr>
      <t xml:space="preserve">本身不受前處理影響</t>
    </r>
  </si>
  <si>
    <r>
      <rPr>
        <sz val="10"/>
        <rFont val="Noto Sans CJK SC"/>
        <family val="2"/>
      </rPr>
      <t xml:space="preserve">總時間 </t>
    </r>
    <r>
      <rPr>
        <sz val="10"/>
        <rFont val="Arial"/>
        <family val="0"/>
        <charset val="1"/>
      </rPr>
      <t xml:space="preserve">P1+P2+P3(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</si>
  <si>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off </t>
    </r>
    <r>
      <rPr>
        <i val="true"/>
        <sz val="9"/>
        <color rgb="FF808080"/>
        <rFont val="Noto Sans CJK SC"/>
        <family val="2"/>
      </rPr>
      <t xml:space="preserve">整體快 </t>
    </r>
    <r>
      <rPr>
        <i val="true"/>
        <sz val="9"/>
        <color rgb="FF808080"/>
        <rFont val="Arial"/>
        <family val="0"/>
        <charset val="1"/>
      </rPr>
      <t xml:space="preserve">31.2%</t>
    </r>
  </si>
  <si>
    <r>
      <rPr>
        <sz val="10"/>
        <rFont val="Noto Sans CJK SC"/>
        <family val="2"/>
      </rPr>
      <t xml:space="preserve">逐影格文字集合完全相同比例（</t>
    </r>
    <r>
      <rPr>
        <sz val="10"/>
        <rFont val="Arial"/>
        <family val="0"/>
        <charset val="1"/>
      </rPr>
      <t xml:space="preserve">605</t>
    </r>
    <r>
      <rPr>
        <sz val="10"/>
        <rFont val="Noto Sans CJK SC"/>
        <family val="2"/>
      </rPr>
      <t xml:space="preserve">個共同影格）</t>
    </r>
  </si>
  <si>
    <r>
      <rPr>
        <sz val="10"/>
        <rFont val="Arial"/>
        <family val="0"/>
        <charset val="1"/>
      </rPr>
      <t xml:space="preserve">denoise_off </t>
    </r>
    <r>
      <rPr>
        <sz val="10"/>
        <rFont val="Noto Sans CJK SC"/>
        <family val="2"/>
      </rPr>
      <t xml:space="preserve">額外抓到文字的影格數</t>
    </r>
  </si>
  <si>
    <r>
      <rPr>
        <sz val="10"/>
        <rFont val="Arial"/>
        <family val="0"/>
        <charset val="1"/>
      </rPr>
      <t xml:space="preserve">denoise_on </t>
    </r>
    <r>
      <rPr>
        <sz val="10"/>
        <rFont val="Noto Sans CJK SC"/>
        <family val="2"/>
      </rPr>
      <t xml:space="preserve">額外抓到文字的影格數</t>
    </r>
  </si>
  <si>
    <r>
      <rPr>
        <i val="true"/>
        <sz val="9"/>
        <color rgb="FF808080"/>
        <rFont val="Arial"/>
        <family val="0"/>
        <charset val="1"/>
      </rPr>
      <t xml:space="preserve">→ off </t>
    </r>
    <r>
      <rPr>
        <i val="true"/>
        <sz val="9"/>
        <color rgb="FF808080"/>
        <rFont val="Noto Sans CJK SC"/>
        <family val="2"/>
      </rPr>
      <t xml:space="preserve">反而比 </t>
    </r>
    <r>
      <rPr>
        <i val="true"/>
        <sz val="9"/>
        <color rgb="FF808080"/>
        <rFont val="Arial"/>
        <family val="0"/>
        <charset val="1"/>
      </rPr>
      <t xml:space="preserve">on </t>
    </r>
    <r>
      <rPr>
        <i val="true"/>
        <sz val="9"/>
        <color rgb="FF808080"/>
        <rFont val="Noto Sans CJK SC"/>
        <family val="2"/>
      </rPr>
      <t xml:space="preserve">多抓到額外文字的影格更多，方向不一致，</t>
    </r>
    <r>
      <rPr>
        <i val="true"/>
        <sz val="9"/>
        <color rgb="FF808080"/>
        <rFont val="Arial"/>
        <family val="0"/>
        <charset val="1"/>
      </rPr>
      <t xml:space="preserve">denoise </t>
    </r>
    <r>
      <rPr>
        <i val="true"/>
        <sz val="9"/>
        <color rgb="FF808080"/>
        <rFont val="Noto Sans CJK SC"/>
        <family val="2"/>
      </rPr>
      <t xml:space="preserve">未穩定提升辨識細節</t>
    </r>
  </si>
  <si>
    <r>
      <rPr>
        <b val="true"/>
        <sz val="10"/>
        <rFont val="Noto Sans CJK SC"/>
        <family val="2"/>
      </rPr>
      <t xml:space="preserve">二、本次最終測試（</t>
    </r>
    <r>
      <rPr>
        <b val="true"/>
        <sz val="10"/>
        <rFont val="Arial"/>
        <family val="0"/>
        <charset val="1"/>
      </rPr>
      <t xml:space="preserve">denoise on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Phase2 </t>
    </r>
    <r>
      <rPr>
        <b val="true"/>
        <sz val="10"/>
        <rFont val="Noto Sans CJK SC"/>
        <family val="2"/>
      </rPr>
      <t xml:space="preserve">佔總管線耗時比例佐證</t>
    </r>
  </si>
  <si>
    <r>
      <rPr>
        <b val="true"/>
        <sz val="10"/>
        <color rgb="FFFFFFFF"/>
        <rFont val="Arial"/>
        <family val="0"/>
        <charset val="1"/>
      </rPr>
      <t xml:space="preserve">Phase2</t>
    </r>
    <r>
      <rPr>
        <b val="true"/>
        <sz val="10"/>
        <color rgb="FFFFFFFF"/>
        <rFont val="Noto Sans CJK SC"/>
        <family val="2"/>
      </rPr>
      <t xml:space="preserve">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</si>
  <si>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共用階段總耗時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</si>
  <si>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Phase2</t>
    </r>
    <r>
      <rPr>
        <b val="true"/>
        <sz val="10"/>
        <color rgb="FFFFFFFF"/>
        <rFont val="Noto Sans CJK SC"/>
        <family val="2"/>
      </rPr>
      <t xml:space="preserve">佔比</t>
    </r>
  </si>
  <si>
    <r>
      <rPr>
        <sz val="10"/>
        <rFont val="Arial"/>
        <family val="0"/>
        <charset val="1"/>
      </rPr>
      <t xml:space="preserve">denoise </t>
    </r>
    <r>
      <rPr>
        <sz val="10"/>
        <rFont val="Noto Sans CJK SC"/>
        <family val="2"/>
      </rPr>
      <t xml:space="preserve">對辨識率的實測提升僅約 </t>
    </r>
    <r>
      <rPr>
        <sz val="10"/>
        <rFont val="Arial"/>
        <family val="0"/>
        <charset val="1"/>
      </rPr>
      <t xml:space="preserve">2.0%</t>
    </r>
    <r>
      <rPr>
        <sz val="10"/>
        <rFont val="Noto Sans CJK SC"/>
        <family val="2"/>
      </rPr>
      <t xml:space="preserve">（信心分數 </t>
    </r>
    <r>
      <rPr>
        <sz val="10"/>
        <rFont val="Arial"/>
        <family val="0"/>
        <charset val="1"/>
      </rPr>
      <t xml:space="preserve">proxy</t>
    </r>
    <r>
      <rPr>
        <sz val="10"/>
        <rFont val="Noto Sans CJK SC"/>
        <family val="2"/>
      </rPr>
      <t xml:space="preserve">），且偵測數量、低信心比例、逐影格文字集合等多項指標方向並不一致支持「</t>
    </r>
    <r>
      <rPr>
        <sz val="10"/>
        <rFont val="Arial"/>
        <family val="0"/>
        <charset val="1"/>
      </rPr>
      <t xml:space="preserve">on </t>
    </r>
    <r>
      <rPr>
        <sz val="10"/>
        <rFont val="Noto Sans CJK SC"/>
        <family val="2"/>
      </rPr>
      <t xml:space="preserve">較好」，遠低於使用者自訂的 </t>
    </r>
    <r>
      <rPr>
        <sz val="10"/>
        <rFont val="Arial"/>
        <family val="0"/>
        <charset val="1"/>
      </rPr>
      <t xml:space="preserve">15% </t>
    </r>
    <r>
      <rPr>
        <sz val="10"/>
        <rFont val="Noto Sans CJK SC"/>
        <family val="2"/>
      </rPr>
      <t xml:space="preserve">門檻；反而總處理時間因此多花 </t>
    </r>
    <r>
      <rPr>
        <sz val="10"/>
        <rFont val="Arial"/>
        <family val="0"/>
        <charset val="1"/>
      </rPr>
      <t xml:space="preserve">31.2%</t>
    </r>
    <r>
      <rPr>
        <sz val="10"/>
        <rFont val="Noto Sans CJK SC"/>
        <family val="2"/>
      </rPr>
      <t xml:space="preserve">。本次最終測試中 </t>
    </r>
    <r>
      <rPr>
        <sz val="10"/>
        <rFont val="Arial"/>
        <family val="0"/>
        <charset val="1"/>
      </rPr>
      <t xml:space="preserve">Phase2 </t>
    </r>
    <r>
      <rPr>
        <sz val="10"/>
        <rFont val="Noto Sans CJK SC"/>
        <family val="2"/>
      </rPr>
      <t xml:space="preserve">也佔了共用階段耗時的 </t>
    </r>
    <r>
      <rPr>
        <sz val="10"/>
        <rFont val="Arial"/>
        <family val="0"/>
        <charset val="1"/>
      </rPr>
      <t xml:space="preserve">32%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37%</t>
    </r>
    <r>
      <rPr>
        <sz val="10"/>
        <rFont val="Noto Sans CJK SC"/>
        <family val="2"/>
      </rPr>
      <t xml:space="preserve">。綜合真實 </t>
    </r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數據與門檻規則：建議 </t>
    </r>
    <r>
      <rPr>
        <sz val="10"/>
        <rFont val="Arial"/>
        <family val="0"/>
        <charset val="1"/>
      </rPr>
      <t xml:space="preserve">denoise </t>
    </r>
    <r>
      <rPr>
        <sz val="10"/>
        <rFont val="Noto Sans CJK SC"/>
        <family val="2"/>
      </rPr>
      <t xml:space="preserve">預設關閉。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</si>
</sst>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%"/>
    <numFmt numFmtId="167" formatCode="0.00"/>
    <numFmt numFmtId="168" formatCode="0.00\x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4"/>
      <color rgb="FF1F4E78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Noto Sans CJK SC"/>
      <family val="2"/>
    </font>
    <font>
      <b val="true"/>
      <sz val="11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Channel 1 四引擎：字典命中率（本次 vs 歷史10影片）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Channel1四引擎比較!H4</c:f>
              <c:strCache>
                <c:ptCount val="1"/>
                <c:pt idx="0">
                  <c:v>本次2支影片加權命中率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Channel1四引擎比較!$A$5:$A$8</c:f>
              <c:strCache>
                <c:ptCount val="4"/>
                <c:pt idx="0">
                  <c:v>Okt</c:v>
                </c:pt>
                <c:pt idx="1">
                  <c:v>Komoran</c:v>
                </c:pt>
                <c:pt idx="2">
                  <c:v>Kkma</c:v>
                </c:pt>
                <c:pt idx="3">
                  <c:v>Mecab</c:v>
                </c:pt>
              </c:strCache>
            </c:strRef>
          </c:cat>
          <c:val>
            <c:numRef>
              <c:f>Channel1四引擎比較!$H$5:$H$8</c:f>
              <c:numCache>
                <c:formatCode>0.0%</c:formatCode>
                <c:ptCount val="4"/>
                <c:pt idx="0">
                  <c:v>0.760863225430155</c:v>
                </c:pt>
                <c:pt idx="1">
                  <c:v>0.863890181479758</c:v>
                </c:pt>
                <c:pt idx="2">
                  <c:v>0.845379688929552</c:v>
                </c:pt>
                <c:pt idx="3">
                  <c:v>0.817496229260935</c:v>
                </c:pt>
              </c:numCache>
            </c:numRef>
          </c:val>
        </c:ser>
        <c:ser>
          <c:idx val="1"/>
          <c:order val="1"/>
          <c:tx>
            <c:strRef>
              <c:f>Channel1四引擎比較!I4</c:f>
              <c:strCache>
                <c:ptCount val="1"/>
                <c:pt idx="0">
                  <c:v>歷史10支影片加權命中率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Channel1四引擎比較!$A$5:$A$8</c:f>
              <c:strCache>
                <c:ptCount val="4"/>
                <c:pt idx="0">
                  <c:v>Okt</c:v>
                </c:pt>
                <c:pt idx="1">
                  <c:v>Komoran</c:v>
                </c:pt>
                <c:pt idx="2">
                  <c:v>Kkma</c:v>
                </c:pt>
                <c:pt idx="3">
                  <c:v>Mecab</c:v>
                </c:pt>
              </c:strCache>
            </c:strRef>
          </c:cat>
          <c:val>
            <c:numRef>
              <c:f>Channel1四引擎比較!$I$5:$I$8</c:f>
              <c:numCache>
                <c:formatCode>0.0%</c:formatCode>
                <c:ptCount val="4"/>
                <c:pt idx="0">
                  <c:v>0.815</c:v>
                </c:pt>
                <c:pt idx="1">
                  <c:v>0.865</c:v>
                </c:pt>
                <c:pt idx="2">
                  <c:v>0.847</c:v>
                </c:pt>
                <c:pt idx="3">
                  <c:v>0.852</c:v>
                </c:pt>
              </c:numCache>
            </c:numRef>
          </c:val>
        </c:ser>
        <c:gapWidth val="150"/>
        <c:overlap val="0"/>
        <c:axId val="80542613"/>
        <c:axId val="69054544"/>
      </c:barChart>
      <c:catAx>
        <c:axId val="805426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引擎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054544"/>
        <c:crosses val="autoZero"/>
        <c:auto val="1"/>
        <c:lblAlgn val="ctr"/>
        <c:lblOffset val="100"/>
        <c:noMultiLvlLbl val="0"/>
      </c:catAx>
      <c:valAx>
        <c:axId val="69054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字典命中率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5426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各通道時間預算比（總耗時 / 影片時長；100% = 影片本身長度）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Channel2與Channel3成本效益!B25</c:f>
              <c:strCache>
                <c:ptCount val="1"/>
                <c:pt idx="0">
                  <c:v>01.mkv 時間預算比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Channel2與Channel3成本效益!$A$26:$A$31</c:f>
              <c:strCache>
                <c:ptCount val="6"/>
                <c:pt idx="0">
                  <c:v>Channel1-Okt</c:v>
                </c:pt>
                <c:pt idx="1">
                  <c:v>Channel1-Komoran</c:v>
                </c:pt>
                <c:pt idx="2">
                  <c:v>Channel1-Kkma</c:v>
                </c:pt>
                <c:pt idx="3">
                  <c:v>Channel1-Mecab</c:v>
                </c:pt>
                <c:pt idx="4">
                  <c:v>Channel2</c:v>
                </c:pt>
                <c:pt idx="5">
                  <c:v>Channel3</c:v>
                </c:pt>
              </c:strCache>
            </c:strRef>
          </c:cat>
          <c:val>
            <c:numRef>
              <c:f>Channel2與Channel3成本效益!$B$26:$B$31</c:f>
              <c:numCache>
                <c:formatCode>0%</c:formatCode>
                <c:ptCount val="6"/>
                <c:pt idx="0">
                  <c:v>0.622391297203142</c:v>
                </c:pt>
                <c:pt idx="1">
                  <c:v>0.630881563523625</c:v>
                </c:pt>
                <c:pt idx="2">
                  <c:v>0.63001884291364</c:v>
                </c:pt>
                <c:pt idx="3">
                  <c:v>0.626294080914977</c:v>
                </c:pt>
                <c:pt idx="4">
                  <c:v>1.35952443553423</c:v>
                </c:pt>
                <c:pt idx="5">
                  <c:v>0.710347717487758</c:v>
                </c:pt>
              </c:numCache>
            </c:numRef>
          </c:val>
        </c:ser>
        <c:ser>
          <c:idx val="1"/>
          <c:order val="1"/>
          <c:tx>
            <c:strRef>
              <c:f>Channel2與Channel3成本效益!C25</c:f>
              <c:strCache>
                <c:ptCount val="1"/>
                <c:pt idx="0">
                  <c:v>02.mp4 時間預算比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Channel2與Channel3成本效益!$A$26:$A$31</c:f>
              <c:strCache>
                <c:ptCount val="6"/>
                <c:pt idx="0">
                  <c:v>Channel1-Okt</c:v>
                </c:pt>
                <c:pt idx="1">
                  <c:v>Channel1-Komoran</c:v>
                </c:pt>
                <c:pt idx="2">
                  <c:v>Channel1-Kkma</c:v>
                </c:pt>
                <c:pt idx="3">
                  <c:v>Channel1-Mecab</c:v>
                </c:pt>
                <c:pt idx="4">
                  <c:v>Channel2</c:v>
                </c:pt>
                <c:pt idx="5">
                  <c:v>Channel3</c:v>
                </c:pt>
              </c:strCache>
            </c:strRef>
          </c:cat>
          <c:val>
            <c:numRef>
              <c:f>Channel2與Channel3成本效益!$C$26:$C$31</c:f>
              <c:numCache>
                <c:formatCode>0%</c:formatCode>
                <c:ptCount val="6"/>
                <c:pt idx="0">
                  <c:v>0.697340382428554</c:v>
                </c:pt>
                <c:pt idx="1">
                  <c:v>0.713404768201777</c:v>
                </c:pt>
                <c:pt idx="2">
                  <c:v>0.711882035403983</c:v>
                </c:pt>
                <c:pt idx="3">
                  <c:v>0.70524790713289</c:v>
                </c:pt>
                <c:pt idx="4">
                  <c:v>2.32619251794999</c:v>
                </c:pt>
                <c:pt idx="5">
                  <c:v>0.875562453861641</c:v>
                </c:pt>
              </c:numCache>
            </c:numRef>
          </c:val>
        </c:ser>
        <c:gapWidth val="150"/>
        <c:overlap val="0"/>
        <c:axId val="34547641"/>
        <c:axId val="93579466"/>
      </c:barChart>
      <c:catAx>
        <c:axId val="345476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通道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579466"/>
        <c:crosses val="autoZero"/>
        <c:auto val="1"/>
        <c:lblAlgn val="ctr"/>
        <c:lblOffset val="100"/>
        <c:noMultiLvlLbl val="0"/>
      </c:catAx>
      <c:valAx>
        <c:axId val="93579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時間預算比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5476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8</xdr:col>
      <xdr:colOff>136080</xdr:colOff>
      <xdr:row>29</xdr:row>
      <xdr:rowOff>21960</xdr:rowOff>
    </xdr:to>
    <xdr:graphicFrame>
      <xdr:nvGraphicFramePr>
        <xdr:cNvPr id="1" name="Chart 1"/>
        <xdr:cNvGraphicFramePr/>
      </xdr:nvGraphicFramePr>
      <xdr:xfrm>
        <a:off x="704880" y="3253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0</xdr:rowOff>
    </xdr:from>
    <xdr:to>
      <xdr:col>7</xdr:col>
      <xdr:colOff>714960</xdr:colOff>
      <xdr:row>50</xdr:row>
      <xdr:rowOff>1080</xdr:rowOff>
    </xdr:to>
    <xdr:graphicFrame>
      <xdr:nvGraphicFramePr>
        <xdr:cNvPr id="2" name="Chart 1"/>
        <xdr:cNvGraphicFramePr/>
      </xdr:nvGraphicFramePr>
      <xdr:xfrm>
        <a:off x="0" y="83134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</row>
    <row r="2" customFormat="false" ht="45" hidden="false" customHeight="true" outlineLevel="0" collapsed="false">
      <c r="A2" s="2" t="s">
        <v>1</v>
      </c>
      <c r="B2" s="2"/>
      <c r="C2" s="2"/>
      <c r="D2" s="2"/>
      <c r="E2" s="2"/>
    </row>
    <row r="4" customFormat="false" ht="45" hidden="false" customHeight="true" outlineLevel="0" collapsed="false">
      <c r="A4" s="3" t="s">
        <v>2</v>
      </c>
      <c r="B4" s="3"/>
      <c r="C4" s="3"/>
      <c r="D4" s="3"/>
      <c r="E4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60" hidden="false" customHeight="true" outlineLevel="0" collapsed="false">
      <c r="A7" s="5" t="s">
        <v>7</v>
      </c>
      <c r="B7" s="6" t="s">
        <v>8</v>
      </c>
      <c r="C7" s="7" t="s">
        <v>9</v>
      </c>
      <c r="D7" s="8" t="s">
        <v>10</v>
      </c>
    </row>
    <row r="8" customFormat="false" ht="60" hidden="false" customHeight="true" outlineLevel="0" collapsed="false">
      <c r="A8" s="5" t="s">
        <v>11</v>
      </c>
      <c r="B8" s="9" t="s">
        <v>12</v>
      </c>
      <c r="C8" s="7" t="s">
        <v>13</v>
      </c>
      <c r="D8" s="10" t="s">
        <v>14</v>
      </c>
    </row>
    <row r="9" customFormat="false" ht="60" hidden="false" customHeight="true" outlineLevel="0" collapsed="false">
      <c r="A9" s="5" t="s">
        <v>15</v>
      </c>
      <c r="B9" s="6" t="s">
        <v>16</v>
      </c>
      <c r="C9" s="11" t="s">
        <v>17</v>
      </c>
      <c r="D9" s="10" t="s">
        <v>18</v>
      </c>
    </row>
    <row r="10" customFormat="false" ht="60" hidden="false" customHeight="true" outlineLevel="0" collapsed="false">
      <c r="A10" s="5" t="s">
        <v>19</v>
      </c>
      <c r="B10" s="6" t="s">
        <v>20</v>
      </c>
      <c r="C10" s="7" t="s">
        <v>21</v>
      </c>
      <c r="D10" s="10" t="s">
        <v>22</v>
      </c>
    </row>
    <row r="12" customFormat="false" ht="15" hidden="false" customHeight="true" outlineLevel="0" collapsed="false">
      <c r="A12" s="12" t="s">
        <v>23</v>
      </c>
      <c r="B12" s="13" t="s">
        <v>24</v>
      </c>
      <c r="C12" s="13"/>
      <c r="D12" s="13"/>
    </row>
    <row r="14" customFormat="false" ht="30" hidden="false" customHeight="true" outlineLevel="0" collapsed="false">
      <c r="A14" s="14" t="s">
        <v>25</v>
      </c>
      <c r="B14" s="15" t="n">
        <f aca="false">AVERAGE(原始數據!J6,原始數據!J12)</f>
        <v>0.672143165862701</v>
      </c>
      <c r="C14" s="16" t="s">
        <v>26</v>
      </c>
      <c r="D14" s="16"/>
    </row>
  </sheetData>
  <mergeCells count="5">
    <mergeCell ref="A1:E1"/>
    <mergeCell ref="A2:E2"/>
    <mergeCell ref="A4:E4"/>
    <mergeCell ref="B12:D12"/>
    <mergeCell ref="C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6" min="13" style="0" width="10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55"/>
  </cols>
  <sheetData>
    <row r="1" customFormat="false" ht="21.6" hidden="false" customHeight="false" outlineLevel="0" collapsed="false">
      <c r="A1" s="17" t="s">
        <v>27</v>
      </c>
    </row>
    <row r="2" customFormat="false" ht="15" hidden="false" customHeight="false" outlineLevel="0" collapsed="false">
      <c r="A2" s="18" t="s">
        <v>28</v>
      </c>
    </row>
    <row r="4" customFormat="false" ht="44" hidden="false" customHeight="false" outlineLevel="0" collapsed="false">
      <c r="A4" s="4" t="s">
        <v>29</v>
      </c>
      <c r="B4" s="4" t="s">
        <v>30</v>
      </c>
      <c r="C4" s="4" t="s">
        <v>31</v>
      </c>
      <c r="D4" s="19" t="s">
        <v>32</v>
      </c>
      <c r="E4" s="19" t="s">
        <v>33</v>
      </c>
      <c r="F4" s="19" t="s">
        <v>34</v>
      </c>
      <c r="G4" s="19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19" t="s">
        <v>42</v>
      </c>
      <c r="O4" s="19" t="s">
        <v>43</v>
      </c>
      <c r="P4" s="19" t="s">
        <v>44</v>
      </c>
      <c r="Q4" s="19" t="s">
        <v>45</v>
      </c>
      <c r="R4" s="4" t="s">
        <v>46</v>
      </c>
      <c r="S4" s="4" t="s">
        <v>47</v>
      </c>
    </row>
    <row r="5" customFormat="false" ht="15" hidden="false" customHeight="false" outlineLevel="0" collapsed="false">
      <c r="A5" s="20" t="s">
        <v>48</v>
      </c>
      <c r="B5" s="20" t="n">
        <v>730.248</v>
      </c>
      <c r="C5" s="20" t="s">
        <v>49</v>
      </c>
      <c r="D5" s="20" t="n">
        <v>29.69</v>
      </c>
      <c r="E5" s="20" t="n">
        <v>145.19</v>
      </c>
      <c r="F5" s="20" t="n">
        <v>0</v>
      </c>
      <c r="G5" s="20" t="n">
        <v>273.6</v>
      </c>
      <c r="H5" s="20" t="n">
        <v>6.02</v>
      </c>
      <c r="I5" s="21" t="n">
        <f aca="false">SUM(D5:H5)</f>
        <v>454.5</v>
      </c>
      <c r="J5" s="22" t="n">
        <f aca="false">I5/B5</f>
        <v>0.622391297203142</v>
      </c>
      <c r="K5" s="20" t="n">
        <v>740</v>
      </c>
      <c r="L5" s="20" t="n">
        <v>539</v>
      </c>
      <c r="M5" s="22" t="n">
        <f aca="false">L5/K5</f>
        <v>0.728378378378378</v>
      </c>
      <c r="N5" s="20" t="n">
        <v>0</v>
      </c>
      <c r="O5" s="20" t="n">
        <v>0</v>
      </c>
      <c r="P5" s="20" t="n">
        <v>0</v>
      </c>
      <c r="Q5" s="20"/>
      <c r="R5" s="23" t="s">
        <v>50</v>
      </c>
      <c r="S5" s="24" t="s">
        <v>51</v>
      </c>
    </row>
    <row r="6" customFormat="false" ht="15" hidden="false" customHeight="false" outlineLevel="0" collapsed="false">
      <c r="A6" s="20" t="s">
        <v>48</v>
      </c>
      <c r="B6" s="20" t="n">
        <v>730.248</v>
      </c>
      <c r="C6" s="20" t="s">
        <v>52</v>
      </c>
      <c r="D6" s="20" t="n">
        <v>29.69</v>
      </c>
      <c r="E6" s="20" t="n">
        <v>145.19</v>
      </c>
      <c r="F6" s="20" t="n">
        <v>0</v>
      </c>
      <c r="G6" s="20" t="n">
        <v>273.6</v>
      </c>
      <c r="H6" s="20" t="n">
        <v>12.22</v>
      </c>
      <c r="I6" s="21" t="n">
        <f aca="false">SUM(D6:H6)</f>
        <v>460.7</v>
      </c>
      <c r="J6" s="22" t="n">
        <f aca="false">I6/B6</f>
        <v>0.630881563523625</v>
      </c>
      <c r="K6" s="20" t="n">
        <v>942</v>
      </c>
      <c r="L6" s="20" t="n">
        <v>758</v>
      </c>
      <c r="M6" s="22" t="n">
        <f aca="false">L6/K6</f>
        <v>0.804670912951168</v>
      </c>
      <c r="N6" s="20" t="n">
        <v>0</v>
      </c>
      <c r="O6" s="20" t="n">
        <v>0</v>
      </c>
      <c r="P6" s="20" t="n">
        <v>0</v>
      </c>
      <c r="Q6" s="20"/>
      <c r="R6" s="23" t="s">
        <v>50</v>
      </c>
      <c r="S6" s="24" t="s">
        <v>53</v>
      </c>
    </row>
    <row r="7" customFormat="false" ht="15" hidden="false" customHeight="false" outlineLevel="0" collapsed="false">
      <c r="A7" s="20" t="s">
        <v>48</v>
      </c>
      <c r="B7" s="20" t="n">
        <v>730.248</v>
      </c>
      <c r="C7" s="20" t="s">
        <v>54</v>
      </c>
      <c r="D7" s="20" t="n">
        <v>29.69</v>
      </c>
      <c r="E7" s="20" t="n">
        <v>145.19</v>
      </c>
      <c r="F7" s="20" t="n">
        <v>0</v>
      </c>
      <c r="G7" s="20" t="n">
        <v>273.6</v>
      </c>
      <c r="H7" s="20" t="n">
        <v>11.59</v>
      </c>
      <c r="I7" s="21" t="n">
        <f aca="false">SUM(D7:H7)</f>
        <v>460.07</v>
      </c>
      <c r="J7" s="22" t="n">
        <f aca="false">I7/B7</f>
        <v>0.63001884291364</v>
      </c>
      <c r="K7" s="20" t="n">
        <v>967</v>
      </c>
      <c r="L7" s="20" t="n">
        <v>776</v>
      </c>
      <c r="M7" s="22" t="n">
        <f aca="false">L7/K7</f>
        <v>0.802481902792141</v>
      </c>
      <c r="N7" s="20" t="n">
        <v>0</v>
      </c>
      <c r="O7" s="20" t="n">
        <v>0</v>
      </c>
      <c r="P7" s="20" t="n">
        <v>0</v>
      </c>
      <c r="Q7" s="20"/>
      <c r="R7" s="23" t="s">
        <v>50</v>
      </c>
      <c r="S7" s="24" t="s">
        <v>55</v>
      </c>
    </row>
    <row r="8" customFormat="false" ht="15" hidden="false" customHeight="false" outlineLevel="0" collapsed="false">
      <c r="A8" s="20" t="s">
        <v>48</v>
      </c>
      <c r="B8" s="20" t="n">
        <v>730.248</v>
      </c>
      <c r="C8" s="20" t="s">
        <v>56</v>
      </c>
      <c r="D8" s="20" t="n">
        <v>29.69</v>
      </c>
      <c r="E8" s="20" t="n">
        <v>145.19</v>
      </c>
      <c r="F8" s="20" t="n">
        <v>0</v>
      </c>
      <c r="G8" s="20" t="n">
        <v>273.6</v>
      </c>
      <c r="H8" s="20" t="n">
        <v>8.87</v>
      </c>
      <c r="I8" s="21" t="n">
        <f aca="false">SUM(D8:H8)</f>
        <v>457.35</v>
      </c>
      <c r="J8" s="22" t="n">
        <f aca="false">I8/B8</f>
        <v>0.626294080914977</v>
      </c>
      <c r="K8" s="20" t="n">
        <v>865</v>
      </c>
      <c r="L8" s="20" t="n">
        <v>682</v>
      </c>
      <c r="M8" s="22" t="n">
        <f aca="false">L8/K8</f>
        <v>0.788439306358382</v>
      </c>
      <c r="N8" s="20" t="n">
        <v>0</v>
      </c>
      <c r="O8" s="20" t="n">
        <v>0</v>
      </c>
      <c r="P8" s="20" t="n">
        <v>0</v>
      </c>
      <c r="Q8" s="20"/>
      <c r="R8" s="23" t="s">
        <v>50</v>
      </c>
      <c r="S8" s="24" t="s">
        <v>57</v>
      </c>
    </row>
    <row r="9" customFormat="false" ht="15" hidden="false" customHeight="false" outlineLevel="0" collapsed="false">
      <c r="A9" s="20" t="s">
        <v>48</v>
      </c>
      <c r="B9" s="20" t="n">
        <v>730.248</v>
      </c>
      <c r="C9" s="20" t="s">
        <v>58</v>
      </c>
      <c r="D9" s="20" t="n">
        <v>29.69</v>
      </c>
      <c r="E9" s="20" t="n">
        <v>145.19</v>
      </c>
      <c r="F9" s="20" t="n">
        <v>0</v>
      </c>
      <c r="G9" s="20" t="n">
        <v>273.6</v>
      </c>
      <c r="H9" s="20" t="n">
        <v>544.31</v>
      </c>
      <c r="I9" s="21" t="n">
        <f aca="false">SUM(D9:H9)</f>
        <v>992.79</v>
      </c>
      <c r="J9" s="22" t="n">
        <f aca="false">I9/B9</f>
        <v>1.35952443553423</v>
      </c>
      <c r="K9" s="20" t="n">
        <v>679</v>
      </c>
      <c r="L9" s="20" t="n">
        <v>422</v>
      </c>
      <c r="M9" s="22" t="n">
        <f aca="false">L9/K9</f>
        <v>0.621502209131075</v>
      </c>
      <c r="N9" s="20" t="n">
        <v>156</v>
      </c>
      <c r="O9" s="20" t="n">
        <v>0</v>
      </c>
      <c r="P9" s="20" t="n">
        <v>0</v>
      </c>
      <c r="Q9" s="20"/>
      <c r="R9" s="23" t="s">
        <v>50</v>
      </c>
      <c r="S9" s="24" t="s">
        <v>59</v>
      </c>
    </row>
    <row r="10" customFormat="false" ht="15" hidden="false" customHeight="false" outlineLevel="0" collapsed="false">
      <c r="A10" s="20" t="s">
        <v>48</v>
      </c>
      <c r="B10" s="20" t="n">
        <v>730.248</v>
      </c>
      <c r="C10" s="20" t="s">
        <v>60</v>
      </c>
      <c r="D10" s="20" t="n">
        <v>29.69</v>
      </c>
      <c r="E10" s="20" t="n">
        <v>145.19</v>
      </c>
      <c r="F10" s="20" t="n">
        <v>0</v>
      </c>
      <c r="G10" s="20" t="n">
        <v>273.6</v>
      </c>
      <c r="H10" s="20" t="n">
        <v>70.25</v>
      </c>
      <c r="I10" s="21" t="n">
        <f aca="false">SUM(D10:H10)</f>
        <v>518.73</v>
      </c>
      <c r="J10" s="22" t="n">
        <f aca="false">I10/B10</f>
        <v>0.710347717487758</v>
      </c>
      <c r="K10" s="20" t="n">
        <v>865</v>
      </c>
      <c r="L10" s="20" t="n">
        <v>684</v>
      </c>
      <c r="M10" s="22" t="n">
        <f aca="false">L10/K10</f>
        <v>0.790751445086705</v>
      </c>
      <c r="N10" s="20" t="n">
        <v>183</v>
      </c>
      <c r="O10" s="20" t="n">
        <v>2</v>
      </c>
      <c r="P10" s="20" t="n">
        <v>181</v>
      </c>
      <c r="Q10" s="20" t="n">
        <v>61.926</v>
      </c>
      <c r="R10" s="23" t="s">
        <v>50</v>
      </c>
      <c r="S10" s="24" t="s">
        <v>61</v>
      </c>
    </row>
    <row r="11" customFormat="false" ht="15" hidden="false" customHeight="false" outlineLevel="0" collapsed="false">
      <c r="A11" s="20" t="s">
        <v>62</v>
      </c>
      <c r="B11" s="20" t="n">
        <v>1122.981</v>
      </c>
      <c r="C11" s="20" t="s">
        <v>49</v>
      </c>
      <c r="D11" s="20" t="n">
        <v>92.57</v>
      </c>
      <c r="E11" s="20" t="n">
        <v>282.83</v>
      </c>
      <c r="F11" s="20" t="n">
        <v>0</v>
      </c>
      <c r="G11" s="20" t="n">
        <v>385.18</v>
      </c>
      <c r="H11" s="20" t="n">
        <v>22.52</v>
      </c>
      <c r="I11" s="21" t="n">
        <f aca="false">SUM(D11:H11)</f>
        <v>783.1</v>
      </c>
      <c r="J11" s="22" t="n">
        <f aca="false">I11/B11</f>
        <v>0.697340382428554</v>
      </c>
      <c r="K11" s="20" t="n">
        <v>2689</v>
      </c>
      <c r="L11" s="20" t="n">
        <v>2070</v>
      </c>
      <c r="M11" s="22" t="n">
        <f aca="false">L11/K11</f>
        <v>0.769802900706582</v>
      </c>
      <c r="N11" s="20" t="n">
        <v>0</v>
      </c>
      <c r="O11" s="20" t="n">
        <v>0</v>
      </c>
      <c r="P11" s="20" t="n">
        <v>0</v>
      </c>
      <c r="Q11" s="20"/>
      <c r="R11" s="23" t="s">
        <v>50</v>
      </c>
      <c r="S11" s="24" t="s">
        <v>51</v>
      </c>
    </row>
    <row r="12" customFormat="false" ht="15" hidden="false" customHeight="false" outlineLevel="0" collapsed="false">
      <c r="A12" s="20" t="s">
        <v>62</v>
      </c>
      <c r="B12" s="20" t="n">
        <v>1122.981</v>
      </c>
      <c r="C12" s="20" t="s">
        <v>52</v>
      </c>
      <c r="D12" s="20" t="n">
        <v>92.57</v>
      </c>
      <c r="E12" s="20" t="n">
        <v>282.83</v>
      </c>
      <c r="F12" s="20" t="n">
        <v>0</v>
      </c>
      <c r="G12" s="20" t="n">
        <v>385.18</v>
      </c>
      <c r="H12" s="20" t="n">
        <v>40.56</v>
      </c>
      <c r="I12" s="21" t="n">
        <f aca="false">SUM(D12:H12)</f>
        <v>801.14</v>
      </c>
      <c r="J12" s="22" t="n">
        <f aca="false">I12/B12</f>
        <v>0.713404768201777</v>
      </c>
      <c r="K12" s="20" t="n">
        <v>3356</v>
      </c>
      <c r="L12" s="20" t="n">
        <v>2955</v>
      </c>
      <c r="M12" s="22" t="n">
        <f aca="false">L12/K12</f>
        <v>0.880512514898689</v>
      </c>
      <c r="N12" s="20" t="n">
        <v>0</v>
      </c>
      <c r="O12" s="20" t="n">
        <v>0</v>
      </c>
      <c r="P12" s="20" t="n">
        <v>0</v>
      </c>
      <c r="Q12" s="20"/>
      <c r="R12" s="23" t="s">
        <v>50</v>
      </c>
      <c r="S12" s="24" t="s">
        <v>53</v>
      </c>
    </row>
    <row r="13" customFormat="false" ht="15" hidden="false" customHeight="false" outlineLevel="0" collapsed="false">
      <c r="A13" s="20" t="s">
        <v>62</v>
      </c>
      <c r="B13" s="20" t="n">
        <v>1122.981</v>
      </c>
      <c r="C13" s="20" t="s">
        <v>54</v>
      </c>
      <c r="D13" s="20" t="n">
        <v>92.57</v>
      </c>
      <c r="E13" s="20" t="n">
        <v>282.83</v>
      </c>
      <c r="F13" s="20" t="n">
        <v>0</v>
      </c>
      <c r="G13" s="20" t="n">
        <v>385.18</v>
      </c>
      <c r="H13" s="20" t="n">
        <v>38.85</v>
      </c>
      <c r="I13" s="21" t="n">
        <f aca="false">SUM(D13:H13)</f>
        <v>799.43</v>
      </c>
      <c r="J13" s="22" t="n">
        <f aca="false">I13/B13</f>
        <v>0.711882035403983</v>
      </c>
      <c r="K13" s="20" t="n">
        <v>3405</v>
      </c>
      <c r="L13" s="20" t="n">
        <v>2920</v>
      </c>
      <c r="M13" s="22" t="n">
        <f aca="false">L13/K13</f>
        <v>0.857562408223201</v>
      </c>
      <c r="N13" s="20" t="n">
        <v>0</v>
      </c>
      <c r="O13" s="20" t="n">
        <v>0</v>
      </c>
      <c r="P13" s="20" t="n">
        <v>0</v>
      </c>
      <c r="Q13" s="20"/>
      <c r="R13" s="23" t="s">
        <v>50</v>
      </c>
      <c r="S13" s="24" t="s">
        <v>55</v>
      </c>
    </row>
    <row r="14" customFormat="false" ht="15" hidden="false" customHeight="false" outlineLevel="0" collapsed="false">
      <c r="A14" s="20" t="s">
        <v>62</v>
      </c>
      <c r="B14" s="20" t="n">
        <v>1122.981</v>
      </c>
      <c r="C14" s="20" t="s">
        <v>56</v>
      </c>
      <c r="D14" s="20" t="n">
        <v>92.57</v>
      </c>
      <c r="E14" s="20" t="n">
        <v>282.83</v>
      </c>
      <c r="F14" s="20" t="n">
        <v>0</v>
      </c>
      <c r="G14" s="20" t="n">
        <v>385.18</v>
      </c>
      <c r="H14" s="20" t="n">
        <v>31.4</v>
      </c>
      <c r="I14" s="21" t="n">
        <f aca="false">SUM(D14:H14)</f>
        <v>791.98</v>
      </c>
      <c r="J14" s="22" t="n">
        <f aca="false">I14/B14</f>
        <v>0.70524790713289</v>
      </c>
      <c r="K14" s="20" t="n">
        <v>3113</v>
      </c>
      <c r="L14" s="20" t="n">
        <v>2570</v>
      </c>
      <c r="M14" s="22" t="n">
        <f aca="false">L14/K14</f>
        <v>0.825570189527787</v>
      </c>
      <c r="N14" s="20" t="n">
        <v>0</v>
      </c>
      <c r="O14" s="20" t="n">
        <v>0</v>
      </c>
      <c r="P14" s="20" t="n">
        <v>0</v>
      </c>
      <c r="Q14" s="20"/>
      <c r="R14" s="23" t="s">
        <v>50</v>
      </c>
      <c r="S14" s="24" t="s">
        <v>57</v>
      </c>
    </row>
    <row r="15" customFormat="false" ht="15" hidden="false" customHeight="false" outlineLevel="0" collapsed="false">
      <c r="A15" s="25" t="s">
        <v>62</v>
      </c>
      <c r="B15" s="25" t="n">
        <v>1122.981</v>
      </c>
      <c r="C15" s="25" t="s">
        <v>58</v>
      </c>
      <c r="D15" s="25" t="n">
        <v>92.57</v>
      </c>
      <c r="E15" s="25" t="n">
        <v>282.83</v>
      </c>
      <c r="F15" s="25" t="n">
        <v>0</v>
      </c>
      <c r="G15" s="25" t="n">
        <v>385.18</v>
      </c>
      <c r="H15" s="25" t="n">
        <v>1851.69</v>
      </c>
      <c r="I15" s="26" t="n">
        <f aca="false">SUM(D15:H15)</f>
        <v>2612.27</v>
      </c>
      <c r="J15" s="27" t="n">
        <f aca="false">I15/B15</f>
        <v>2.32619251794999</v>
      </c>
      <c r="K15" s="25" t="n">
        <v>0</v>
      </c>
      <c r="L15" s="25" t="n">
        <v>0</v>
      </c>
      <c r="M15" s="28"/>
      <c r="N15" s="25"/>
      <c r="O15" s="25"/>
      <c r="P15" s="25"/>
      <c r="Q15" s="25"/>
      <c r="R15" s="29" t="s">
        <v>63</v>
      </c>
      <c r="S15" s="24" t="s">
        <v>64</v>
      </c>
    </row>
    <row r="16" customFormat="false" ht="15" hidden="false" customHeight="false" outlineLevel="0" collapsed="false">
      <c r="A16" s="20" t="s">
        <v>62</v>
      </c>
      <c r="B16" s="20" t="n">
        <v>1122.981</v>
      </c>
      <c r="C16" s="20" t="s">
        <v>60</v>
      </c>
      <c r="D16" s="20" t="n">
        <v>92.57</v>
      </c>
      <c r="E16" s="20" t="n">
        <v>282.83</v>
      </c>
      <c r="F16" s="20" t="n">
        <v>0</v>
      </c>
      <c r="G16" s="20" t="n">
        <v>385.18</v>
      </c>
      <c r="H16" s="20" t="n">
        <v>222.66</v>
      </c>
      <c r="I16" s="21" t="n">
        <f aca="false">SUM(D16:H16)</f>
        <v>983.24</v>
      </c>
      <c r="J16" s="22" t="n">
        <f aca="false">I16/B16</f>
        <v>0.875562453861641</v>
      </c>
      <c r="K16" s="20" t="n">
        <v>3113</v>
      </c>
      <c r="L16" s="20" t="n">
        <v>2587</v>
      </c>
      <c r="M16" s="22" t="n">
        <f aca="false">L16/K16</f>
        <v>0.831031159653068</v>
      </c>
      <c r="N16" s="20" t="n">
        <v>543</v>
      </c>
      <c r="O16" s="20" t="n">
        <v>17</v>
      </c>
      <c r="P16" s="20" t="n">
        <v>526</v>
      </c>
      <c r="Q16" s="20" t="n">
        <v>189.369</v>
      </c>
      <c r="R16" s="23" t="s">
        <v>50</v>
      </c>
      <c r="S16" s="2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9" min="8" style="0" width="16"/>
    <col collapsed="false" customWidth="true" hidden="false" outlineLevel="0" max="10" min="10" style="0" width="13"/>
    <col collapsed="false" customWidth="true" hidden="false" outlineLevel="0" max="11" min="11" style="0" width="20"/>
  </cols>
  <sheetData>
    <row r="1" customFormat="false" ht="21.6" hidden="false" customHeight="false" outlineLevel="0" collapsed="false">
      <c r="A1" s="17" t="s">
        <v>65</v>
      </c>
    </row>
    <row r="2" customFormat="false" ht="15" hidden="false" customHeight="false" outlineLevel="0" collapsed="false">
      <c r="A2" s="18" t="s">
        <v>66</v>
      </c>
    </row>
    <row r="4" customFormat="false" ht="29.85" hidden="false" customHeight="false" outlineLevel="0" collapsed="false">
      <c r="A4" s="4" t="s">
        <v>67</v>
      </c>
      <c r="B4" s="19" t="s">
        <v>68</v>
      </c>
      <c r="C4" s="19" t="s">
        <v>69</v>
      </c>
      <c r="D4" s="19" t="s">
        <v>70</v>
      </c>
      <c r="E4" s="19" t="s">
        <v>71</v>
      </c>
      <c r="F4" s="19" t="s">
        <v>72</v>
      </c>
      <c r="G4" s="19" t="s">
        <v>73</v>
      </c>
      <c r="H4" s="4" t="s">
        <v>74</v>
      </c>
      <c r="I4" s="4" t="s">
        <v>75</v>
      </c>
      <c r="J4" s="4" t="s">
        <v>76</v>
      </c>
      <c r="K4" s="4" t="s">
        <v>77</v>
      </c>
    </row>
    <row r="5" customFormat="false" ht="15" hidden="false" customHeight="false" outlineLevel="0" collapsed="false">
      <c r="A5" s="5" t="s">
        <v>78</v>
      </c>
      <c r="B5" s="21" t="n">
        <f aca="false">原始數據!K5</f>
        <v>740</v>
      </c>
      <c r="C5" s="21" t="n">
        <f aca="false">原始數據!L5</f>
        <v>539</v>
      </c>
      <c r="D5" s="22" t="n">
        <f aca="false">C5/B5</f>
        <v>0.728378378378378</v>
      </c>
      <c r="E5" s="21" t="n">
        <f aca="false">原始數據!K11</f>
        <v>2689</v>
      </c>
      <c r="F5" s="21" t="n">
        <f aca="false">原始數據!L11</f>
        <v>2070</v>
      </c>
      <c r="G5" s="22" t="n">
        <f aca="false">F5/E5</f>
        <v>0.769802900706582</v>
      </c>
      <c r="H5" s="22" t="n">
        <f aca="false">(C5+F5)/(B5+E5)</f>
        <v>0.760863225430155</v>
      </c>
      <c r="I5" s="30" t="n">
        <v>0.815</v>
      </c>
      <c r="J5" s="22" t="n">
        <f aca="false">AVERAGE(原始數據!J5,原始數據!J11)</f>
        <v>0.659865839815848</v>
      </c>
    </row>
    <row r="6" customFormat="false" ht="15" hidden="false" customHeight="false" outlineLevel="0" collapsed="false">
      <c r="A6" s="5" t="s">
        <v>79</v>
      </c>
      <c r="B6" s="21" t="n">
        <f aca="false">原始數據!K6</f>
        <v>942</v>
      </c>
      <c r="C6" s="21" t="n">
        <f aca="false">原始數據!L6</f>
        <v>758</v>
      </c>
      <c r="D6" s="22" t="n">
        <f aca="false">C6/B6</f>
        <v>0.804670912951168</v>
      </c>
      <c r="E6" s="21" t="n">
        <f aca="false">原始數據!K12</f>
        <v>3356</v>
      </c>
      <c r="F6" s="21" t="n">
        <f aca="false">原始數據!L12</f>
        <v>2955</v>
      </c>
      <c r="G6" s="22" t="n">
        <f aca="false">F6/E6</f>
        <v>0.880512514898689</v>
      </c>
      <c r="H6" s="22" t="n">
        <f aca="false">(C6+F6)/(B6+E6)</f>
        <v>0.863890181479758</v>
      </c>
      <c r="I6" s="30" t="n">
        <v>0.865</v>
      </c>
      <c r="J6" s="22" t="n">
        <f aca="false">AVERAGE(原始數據!J6,原始數據!J12)</f>
        <v>0.672143165862701</v>
      </c>
    </row>
    <row r="7" customFormat="false" ht="15" hidden="false" customHeight="false" outlineLevel="0" collapsed="false">
      <c r="A7" s="5" t="s">
        <v>80</v>
      </c>
      <c r="B7" s="21" t="n">
        <f aca="false">原始數據!K7</f>
        <v>967</v>
      </c>
      <c r="C7" s="21" t="n">
        <f aca="false">原始數據!L7</f>
        <v>776</v>
      </c>
      <c r="D7" s="22" t="n">
        <f aca="false">C7/B7</f>
        <v>0.802481902792141</v>
      </c>
      <c r="E7" s="21" t="n">
        <f aca="false">原始數據!K13</f>
        <v>3405</v>
      </c>
      <c r="F7" s="21" t="n">
        <f aca="false">原始數據!L13</f>
        <v>2920</v>
      </c>
      <c r="G7" s="22" t="n">
        <f aca="false">F7/E7</f>
        <v>0.857562408223201</v>
      </c>
      <c r="H7" s="22" t="n">
        <f aca="false">(C7+F7)/(B7+E7)</f>
        <v>0.845379688929552</v>
      </c>
      <c r="I7" s="30" t="n">
        <v>0.847</v>
      </c>
      <c r="J7" s="22" t="n">
        <f aca="false">AVERAGE(原始數據!J7,原始數據!J13)</f>
        <v>0.670950439158812</v>
      </c>
    </row>
    <row r="8" customFormat="false" ht="15" hidden="false" customHeight="false" outlineLevel="0" collapsed="false">
      <c r="A8" s="5" t="s">
        <v>81</v>
      </c>
      <c r="B8" s="21" t="n">
        <f aca="false">原始數據!K8</f>
        <v>865</v>
      </c>
      <c r="C8" s="21" t="n">
        <f aca="false">原始數據!L8</f>
        <v>682</v>
      </c>
      <c r="D8" s="22" t="n">
        <f aca="false">C8/B8</f>
        <v>0.788439306358382</v>
      </c>
      <c r="E8" s="21" t="n">
        <f aca="false">原始數據!K14</f>
        <v>3113</v>
      </c>
      <c r="F8" s="21" t="n">
        <f aca="false">原始數據!L14</f>
        <v>2570</v>
      </c>
      <c r="G8" s="22" t="n">
        <f aca="false">F8/E8</f>
        <v>0.825570189527787</v>
      </c>
      <c r="H8" s="22" t="n">
        <f aca="false">(C8+F8)/(B8+E8)</f>
        <v>0.817496229260935</v>
      </c>
      <c r="I8" s="30" t="n">
        <v>0.852</v>
      </c>
      <c r="J8" s="22" t="n">
        <f aca="false">AVERAGE(原始數據!J8,原始數據!J14)</f>
        <v>0.665770994023933</v>
      </c>
    </row>
    <row r="10" customFormat="false" ht="39.75" hidden="false" customHeight="true" outlineLevel="0" collapsed="false">
      <c r="A10" s="31" t="s">
        <v>82</v>
      </c>
      <c r="B10" s="32" t="s">
        <v>83</v>
      </c>
      <c r="C10" s="32"/>
      <c r="D10" s="32"/>
      <c r="E10" s="32"/>
      <c r="F10" s="32"/>
      <c r="G10" s="32"/>
      <c r="H10" s="32"/>
      <c r="I10" s="32"/>
      <c r="J10" s="32"/>
    </row>
  </sheetData>
  <mergeCells count="1">
    <mergeCell ref="B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5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10" min="9" style="0" width="13"/>
    <col collapsed="false" customWidth="true" hidden="false" outlineLevel="0" max="11" min="11" style="0" width="15"/>
  </cols>
  <sheetData>
    <row r="1" customFormat="false" ht="21.6" hidden="false" customHeight="false" outlineLevel="0" collapsed="false">
      <c r="A1" s="17" t="s">
        <v>84</v>
      </c>
    </row>
    <row r="3" customFormat="false" ht="15" hidden="false" customHeight="false" outlineLevel="0" collapsed="false">
      <c r="A3" s="31" t="s">
        <v>85</v>
      </c>
    </row>
    <row r="4" customFormat="false" ht="72.35" hidden="false" customHeight="false" outlineLevel="0" collapsed="false">
      <c r="A4" s="4" t="s">
        <v>29</v>
      </c>
      <c r="B4" s="4" t="s">
        <v>30</v>
      </c>
      <c r="C4" s="19" t="s">
        <v>86</v>
      </c>
      <c r="D4" s="4" t="s">
        <v>87</v>
      </c>
      <c r="E4" s="4" t="s">
        <v>88</v>
      </c>
      <c r="F4" s="4" t="s">
        <v>46</v>
      </c>
      <c r="G4" s="4" t="s">
        <v>89</v>
      </c>
    </row>
    <row r="5" customFormat="false" ht="15" hidden="false" customHeight="false" outlineLevel="0" collapsed="false">
      <c r="A5" s="21" t="str">
        <f aca="false">原始數據!A9</f>
        <v>01.mkv</v>
      </c>
      <c r="B5" s="21" t="n">
        <f aca="false">原始數據!B9</f>
        <v>730.248</v>
      </c>
      <c r="C5" s="21" t="n">
        <f aca="false">原始數據!H9</f>
        <v>544.31</v>
      </c>
      <c r="D5" s="21" t="n">
        <f aca="false">原始數據!I9</f>
        <v>992.79</v>
      </c>
      <c r="E5" s="22" t="n">
        <f aca="false">原始數據!J9</f>
        <v>1.35952443553423</v>
      </c>
      <c r="F5" s="21" t="str">
        <f aca="false">原始數據!R9</f>
        <v>完成</v>
      </c>
      <c r="G5" s="21" t="str">
        <f aca="false">原始數據!S9</f>
        <v>stats/channel2_report.csv（dict_hit_count 對 Channel2 意義為「非空白翻譯數」，非字典比對）</v>
      </c>
    </row>
    <row r="6" customFormat="false" ht="15" hidden="false" customHeight="false" outlineLevel="0" collapsed="false">
      <c r="A6" s="26" t="str">
        <f aca="false">原始數據!A15</f>
        <v>02.mp4</v>
      </c>
      <c r="B6" s="26" t="n">
        <f aca="false">原始數據!B15</f>
        <v>1122.981</v>
      </c>
      <c r="C6" s="26" t="n">
        <f aca="false">原始數據!H15</f>
        <v>1851.69</v>
      </c>
      <c r="D6" s="26" t="n">
        <f aca="false">原始數據!I15</f>
        <v>2612.27</v>
      </c>
      <c r="E6" s="27" t="n">
        <f aca="false">原始數據!J15</f>
        <v>2.32619251794999</v>
      </c>
      <c r="F6" s="26" t="str">
        <f aca="false">原始數據!R15</f>
        <v>失敗（0筆輸出）</v>
      </c>
      <c r="G6" s="26" t="str">
        <f aca="false">原始數據!S15</f>
        <v>02_status.json：ReadTimeout: HTTPConnectionPool(host='localhost', port=11434): Read timed out. (read timeout=60.0)</v>
      </c>
    </row>
    <row r="7" customFormat="false" ht="15" hidden="false" customHeight="false" outlineLevel="0" collapsed="false">
      <c r="A7" s="33" t="s">
        <v>90</v>
      </c>
      <c r="B7" s="33"/>
      <c r="C7" s="33"/>
      <c r="D7" s="33"/>
      <c r="E7" s="33"/>
      <c r="F7" s="33"/>
      <c r="G7" s="33"/>
    </row>
    <row r="8" customFormat="false" ht="27.75" hidden="false" customHeight="true" outlineLevel="0" collapsed="false">
      <c r="A8" s="34" t="s">
        <v>91</v>
      </c>
      <c r="B8" s="34"/>
      <c r="C8" s="34"/>
      <c r="D8" s="34"/>
      <c r="E8" s="34"/>
      <c r="F8" s="34"/>
      <c r="G8" s="34"/>
    </row>
    <row r="10" customFormat="false" ht="15" hidden="false" customHeight="false" outlineLevel="0" collapsed="false">
      <c r="A10" s="35" t="s">
        <v>92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customFormat="false" ht="38.05" hidden="false" customHeight="false" outlineLevel="0" collapsed="false">
      <c r="A11" s="4" t="s">
        <v>29</v>
      </c>
      <c r="B11" s="19" t="s">
        <v>93</v>
      </c>
      <c r="C11" s="19" t="s">
        <v>94</v>
      </c>
      <c r="D11" s="4" t="s">
        <v>95</v>
      </c>
      <c r="E11" s="19" t="s">
        <v>96</v>
      </c>
      <c r="F11" s="19" t="s">
        <v>97</v>
      </c>
      <c r="G11" s="19" t="s">
        <v>98</v>
      </c>
      <c r="H11" s="19" t="s">
        <v>45</v>
      </c>
      <c r="I11" s="19" t="s">
        <v>99</v>
      </c>
      <c r="J11" s="19" t="s">
        <v>100</v>
      </c>
      <c r="K11" s="4" t="s">
        <v>101</v>
      </c>
    </row>
    <row r="12" customFormat="false" ht="15" hidden="false" customHeight="false" outlineLevel="0" collapsed="false">
      <c r="A12" s="21" t="str">
        <f aca="false">原始數據!A8</f>
        <v>01.mkv</v>
      </c>
      <c r="B12" s="22" t="n">
        <f aca="false">原始數據!M8</f>
        <v>0.788439306358382</v>
      </c>
      <c r="C12" s="22" t="n">
        <f aca="false">原始數據!M10</f>
        <v>0.790751445086705</v>
      </c>
      <c r="D12" s="36" t="n">
        <f aca="false">(C12-B12)*100</f>
        <v>0.23121387283237</v>
      </c>
      <c r="E12" s="21" t="n">
        <f aca="false">原始數據!N10</f>
        <v>183</v>
      </c>
      <c r="F12" s="21" t="n">
        <f aca="false">原始數據!O10</f>
        <v>2</v>
      </c>
      <c r="G12" s="22" t="n">
        <f aca="false">F12/E12</f>
        <v>0.0109289617486339</v>
      </c>
      <c r="H12" s="21" t="n">
        <f aca="false">原始數據!Q10</f>
        <v>61.926</v>
      </c>
      <c r="I12" s="21" t="n">
        <f aca="false">原始數據!H10</f>
        <v>70.25</v>
      </c>
      <c r="J12" s="21" t="n">
        <f aca="false">原始數據!H8</f>
        <v>8.87</v>
      </c>
      <c r="K12" s="37" t="n">
        <f aca="false">I12/J12</f>
        <v>7.91995490417137</v>
      </c>
    </row>
    <row r="13" customFormat="false" ht="15" hidden="false" customHeight="false" outlineLevel="0" collapsed="false">
      <c r="A13" s="21" t="str">
        <f aca="false">原始數據!A14</f>
        <v>02.mp4</v>
      </c>
      <c r="B13" s="22" t="n">
        <f aca="false">原始數據!M14</f>
        <v>0.825570189527787</v>
      </c>
      <c r="C13" s="22" t="n">
        <f aca="false">原始數據!M16</f>
        <v>0.831031159653068</v>
      </c>
      <c r="D13" s="36" t="n">
        <f aca="false">(C13-B13)*100</f>
        <v>0.546097012528102</v>
      </c>
      <c r="E13" s="21" t="n">
        <f aca="false">原始數據!N16</f>
        <v>543</v>
      </c>
      <c r="F13" s="21" t="n">
        <f aca="false">原始數據!O16</f>
        <v>17</v>
      </c>
      <c r="G13" s="22" t="n">
        <f aca="false">F13/E13</f>
        <v>0.0313075506445672</v>
      </c>
      <c r="H13" s="21" t="n">
        <f aca="false">原始數據!Q16</f>
        <v>189.369</v>
      </c>
      <c r="I13" s="21" t="n">
        <f aca="false">原始數據!H16</f>
        <v>222.66</v>
      </c>
      <c r="J13" s="21" t="n">
        <f aca="false">原始數據!H14</f>
        <v>31.4</v>
      </c>
      <c r="K13" s="37" t="n">
        <f aca="false">I13/J13</f>
        <v>7.09108280254777</v>
      </c>
    </row>
    <row r="15" customFormat="false" ht="15" hidden="false" customHeight="false" outlineLevel="0" collapsed="false">
      <c r="A15" s="31" t="s">
        <v>102</v>
      </c>
    </row>
    <row r="16" customFormat="false" ht="15" hidden="false" customHeight="false" outlineLevel="0" collapsed="false">
      <c r="A16" s="38" t="s">
        <v>103</v>
      </c>
      <c r="B16" s="39" t="n">
        <v>2930</v>
      </c>
    </row>
    <row r="17" customFormat="false" ht="15" hidden="false" customHeight="false" outlineLevel="0" collapsed="false">
      <c r="A17" s="38" t="s">
        <v>104</v>
      </c>
      <c r="B17" s="39" t="n">
        <v>50</v>
      </c>
    </row>
    <row r="18" customFormat="false" ht="15" hidden="false" customHeight="false" outlineLevel="0" collapsed="false">
      <c r="A18" s="14" t="s">
        <v>105</v>
      </c>
      <c r="B18" s="15" t="n">
        <f aca="false">B17/B16</f>
        <v>0.0170648464163823</v>
      </c>
    </row>
    <row r="19" customFormat="false" ht="15" hidden="false" customHeight="false" outlineLevel="0" collapsed="false">
      <c r="A19" s="38" t="s">
        <v>106</v>
      </c>
      <c r="B19" s="39" t="n">
        <v>912</v>
      </c>
    </row>
    <row r="21" customFormat="false" ht="15" hidden="false" customHeight="false" outlineLevel="0" collapsed="false">
      <c r="A21" s="31" t="s">
        <v>82</v>
      </c>
    </row>
    <row r="22" customFormat="false" ht="60" hidden="false" customHeight="true" outlineLevel="0" collapsed="false">
      <c r="A22" s="40" t="s">
        <v>107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</row>
    <row r="25" customFormat="false" ht="29.85" hidden="false" customHeight="false" outlineLevel="0" collapsed="false">
      <c r="A25" s="4" t="s">
        <v>31</v>
      </c>
      <c r="B25" s="19" t="s">
        <v>108</v>
      </c>
      <c r="C25" s="19" t="s">
        <v>109</v>
      </c>
    </row>
    <row r="26" customFormat="false" ht="15" hidden="false" customHeight="false" outlineLevel="0" collapsed="false">
      <c r="A26" s="38" t="s">
        <v>49</v>
      </c>
      <c r="B26" s="41" t="n">
        <f aca="false">原始數據!J5</f>
        <v>0.622391297203142</v>
      </c>
      <c r="C26" s="41" t="n">
        <f aca="false">原始數據!J11</f>
        <v>0.697340382428554</v>
      </c>
    </row>
    <row r="27" customFormat="false" ht="15" hidden="false" customHeight="false" outlineLevel="0" collapsed="false">
      <c r="A27" s="38" t="s">
        <v>52</v>
      </c>
      <c r="B27" s="41" t="n">
        <f aca="false">原始數據!J6</f>
        <v>0.630881563523625</v>
      </c>
      <c r="C27" s="41" t="n">
        <f aca="false">原始數據!J12</f>
        <v>0.713404768201777</v>
      </c>
    </row>
    <row r="28" customFormat="false" ht="15" hidden="false" customHeight="false" outlineLevel="0" collapsed="false">
      <c r="A28" s="38" t="s">
        <v>54</v>
      </c>
      <c r="B28" s="41" t="n">
        <f aca="false">原始數據!J7</f>
        <v>0.63001884291364</v>
      </c>
      <c r="C28" s="41" t="n">
        <f aca="false">原始數據!J13</f>
        <v>0.711882035403983</v>
      </c>
    </row>
    <row r="29" customFormat="false" ht="15" hidden="false" customHeight="false" outlineLevel="0" collapsed="false">
      <c r="A29" s="38" t="s">
        <v>56</v>
      </c>
      <c r="B29" s="41" t="n">
        <f aca="false">原始數據!J8</f>
        <v>0.626294080914977</v>
      </c>
      <c r="C29" s="41" t="n">
        <f aca="false">原始數據!J14</f>
        <v>0.70524790713289</v>
      </c>
    </row>
    <row r="30" customFormat="false" ht="15" hidden="false" customHeight="false" outlineLevel="0" collapsed="false">
      <c r="A30" s="38" t="s">
        <v>58</v>
      </c>
      <c r="B30" s="41" t="n">
        <f aca="false">原始數據!J9</f>
        <v>1.35952443553423</v>
      </c>
      <c r="C30" s="41" t="n">
        <f aca="false">原始數據!J15</f>
        <v>2.32619251794999</v>
      </c>
    </row>
    <row r="31" customFormat="false" ht="15" hidden="false" customHeight="false" outlineLevel="0" collapsed="false">
      <c r="A31" s="38" t="s">
        <v>60</v>
      </c>
      <c r="B31" s="41" t="n">
        <f aca="false">原始數據!J10</f>
        <v>0.710347717487758</v>
      </c>
      <c r="C31" s="41" t="n">
        <f aca="false">原始數據!J16</f>
        <v>0.875562453861641</v>
      </c>
    </row>
  </sheetData>
  <mergeCells count="4">
    <mergeCell ref="A7:G7"/>
    <mergeCell ref="A8:G8"/>
    <mergeCell ref="A10:K10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5"/>
  </cols>
  <sheetData>
    <row r="1" customFormat="false" ht="21.6" hidden="false" customHeight="false" outlineLevel="0" collapsed="false">
      <c r="A1" s="17" t="s">
        <v>110</v>
      </c>
    </row>
    <row r="2" customFormat="false" ht="14.15" hidden="false" customHeight="false" outlineLevel="0" collapsed="false">
      <c r="A2" s="42" t="s">
        <v>111</v>
      </c>
      <c r="B2" s="42"/>
      <c r="C2" s="42"/>
      <c r="D2" s="42"/>
      <c r="E2" s="42"/>
      <c r="F2" s="42"/>
    </row>
    <row r="4" customFormat="false" ht="15" hidden="false" customHeight="false" outlineLevel="0" collapsed="false">
      <c r="A4" s="35" t="s">
        <v>112</v>
      </c>
      <c r="B4" s="35"/>
      <c r="C4" s="35"/>
      <c r="D4" s="35"/>
      <c r="E4" s="35"/>
      <c r="F4" s="35"/>
    </row>
    <row r="5" customFormat="false" ht="15" hidden="false" customHeight="false" outlineLevel="0" collapsed="false">
      <c r="A5" s="4" t="s">
        <v>3</v>
      </c>
      <c r="B5" s="19" t="s">
        <v>113</v>
      </c>
      <c r="C5" s="19" t="s">
        <v>114</v>
      </c>
      <c r="D5" s="4" t="s">
        <v>115</v>
      </c>
      <c r="E5" s="4" t="s">
        <v>116</v>
      </c>
    </row>
    <row r="6" customFormat="false" ht="15" hidden="false" customHeight="false" outlineLevel="0" collapsed="false">
      <c r="A6" s="43" t="s">
        <v>117</v>
      </c>
      <c r="B6" s="20" t="n">
        <v>3326</v>
      </c>
      <c r="C6" s="20" t="n">
        <v>3347</v>
      </c>
      <c r="D6" s="22" t="n">
        <f aca="false">(C6-B6)/B6</f>
        <v>0.00631389055923031</v>
      </c>
      <c r="E6" s="24" t="s">
        <v>118</v>
      </c>
    </row>
    <row r="7" customFormat="false" ht="15" hidden="false" customHeight="false" outlineLevel="0" collapsed="false">
      <c r="A7" s="43" t="s">
        <v>119</v>
      </c>
      <c r="B7" s="20" t="n">
        <v>0.87</v>
      </c>
      <c r="C7" s="20" t="n">
        <v>0.853</v>
      </c>
      <c r="D7" s="22" t="n">
        <f aca="false">(B7-C7)/C7</f>
        <v>0.0199296600234467</v>
      </c>
      <c r="E7" s="24" t="s">
        <v>120</v>
      </c>
    </row>
    <row r="8" customFormat="false" ht="15" hidden="false" customHeight="false" outlineLevel="0" collapsed="false">
      <c r="A8" s="43" t="s">
        <v>121</v>
      </c>
      <c r="B8" s="20" t="n">
        <v>0.0857</v>
      </c>
      <c r="C8" s="20" t="n">
        <v>0.0813</v>
      </c>
      <c r="D8" s="36" t="n">
        <f aca="false">B8-C8</f>
        <v>0.0044</v>
      </c>
      <c r="E8" s="24" t="s">
        <v>122</v>
      </c>
    </row>
    <row r="9" customFormat="false" ht="15" hidden="false" customHeight="false" outlineLevel="0" collapsed="false">
      <c r="A9" s="44" t="s">
        <v>123</v>
      </c>
      <c r="B9" s="20" t="n">
        <v>27.85</v>
      </c>
      <c r="C9" s="20" t="n">
        <v>27.85</v>
      </c>
      <c r="D9" s="36" t="n">
        <f aca="false">B9-C9</f>
        <v>0</v>
      </c>
      <c r="E9" s="45" t="s">
        <v>124</v>
      </c>
    </row>
    <row r="10" customFormat="false" ht="15" hidden="false" customHeight="false" outlineLevel="0" collapsed="false">
      <c r="A10" s="44" t="s">
        <v>125</v>
      </c>
      <c r="B10" s="20" t="n">
        <v>122.82</v>
      </c>
      <c r="C10" s="20" t="n">
        <v>11.85</v>
      </c>
      <c r="D10" s="37" t="n">
        <f aca="false">B10/C10</f>
        <v>10.3645569620253</v>
      </c>
      <c r="E10" s="24" t="s">
        <v>126</v>
      </c>
    </row>
    <row r="11" customFormat="false" ht="15" hidden="false" customHeight="false" outlineLevel="0" collapsed="false">
      <c r="A11" s="44" t="s">
        <v>127</v>
      </c>
      <c r="B11" s="20" t="n">
        <v>206.83</v>
      </c>
      <c r="C11" s="20" t="n">
        <v>206.32</v>
      </c>
      <c r="D11" s="22" t="n">
        <f aca="false">(B11-C11)/C11</f>
        <v>0.00247188832880971</v>
      </c>
      <c r="E11" s="45" t="s">
        <v>128</v>
      </c>
    </row>
    <row r="12" customFormat="false" ht="15" hidden="false" customHeight="false" outlineLevel="0" collapsed="false">
      <c r="A12" s="43" t="s">
        <v>129</v>
      </c>
      <c r="B12" s="20" t="n">
        <v>357.5</v>
      </c>
      <c r="C12" s="20" t="n">
        <v>246.02</v>
      </c>
      <c r="D12" s="22" t="n">
        <f aca="false">(B12-C12)/B12</f>
        <v>0.311832167832168</v>
      </c>
      <c r="E12" s="24" t="s">
        <v>130</v>
      </c>
    </row>
    <row r="14" customFormat="false" ht="15" hidden="false" customHeight="false" outlineLevel="0" collapsed="false">
      <c r="A14" s="14" t="s">
        <v>131</v>
      </c>
      <c r="B14" s="46" t="n">
        <v>0.182</v>
      </c>
    </row>
    <row r="15" customFormat="false" ht="15" hidden="false" customHeight="false" outlineLevel="0" collapsed="false">
      <c r="A15" s="38" t="s">
        <v>132</v>
      </c>
      <c r="B15" s="39" t="n">
        <v>116</v>
      </c>
    </row>
    <row r="16" customFormat="false" ht="15" hidden="false" customHeight="false" outlineLevel="0" collapsed="false">
      <c r="A16" s="38" t="s">
        <v>133</v>
      </c>
      <c r="B16" s="39" t="n">
        <v>77</v>
      </c>
    </row>
    <row r="17" customFormat="false" ht="15" hidden="false" customHeight="false" outlineLevel="0" collapsed="false">
      <c r="A17" s="47" t="s">
        <v>134</v>
      </c>
      <c r="B17" s="47"/>
      <c r="C17" s="47"/>
      <c r="D17" s="47"/>
      <c r="E17" s="47"/>
    </row>
    <row r="19" customFormat="false" ht="15" hidden="false" customHeight="false" outlineLevel="0" collapsed="false">
      <c r="A19" s="35" t="s">
        <v>135</v>
      </c>
      <c r="B19" s="35"/>
      <c r="C19" s="35"/>
      <c r="D19" s="35"/>
      <c r="E19" s="35"/>
    </row>
    <row r="20" customFormat="false" ht="26.85" hidden="false" customHeight="false" outlineLevel="0" collapsed="false">
      <c r="A20" s="4" t="s">
        <v>29</v>
      </c>
      <c r="B20" s="19" t="s">
        <v>136</v>
      </c>
      <c r="C20" s="4" t="s">
        <v>137</v>
      </c>
      <c r="D20" s="19" t="s">
        <v>138</v>
      </c>
    </row>
    <row r="21" customFormat="false" ht="15" hidden="false" customHeight="false" outlineLevel="0" collapsed="false">
      <c r="A21" s="21" t="str">
        <f aca="false">原始數據!A5</f>
        <v>01.mkv</v>
      </c>
      <c r="B21" s="21" t="n">
        <f aca="false">原始數據!E5</f>
        <v>145.19</v>
      </c>
      <c r="C21" s="21" t="n">
        <f aca="false">原始數據!D5+原始數據!E5+原始數據!F5+原始數據!G5</f>
        <v>448.48</v>
      </c>
      <c r="D21" s="22" t="n">
        <f aca="false">B21/C21</f>
        <v>0.32373795932929</v>
      </c>
    </row>
    <row r="22" customFormat="false" ht="15" hidden="false" customHeight="false" outlineLevel="0" collapsed="false">
      <c r="A22" s="21" t="str">
        <f aca="false">原始數據!A11</f>
        <v>02.mp4</v>
      </c>
      <c r="B22" s="21" t="n">
        <f aca="false">原始數據!E11</f>
        <v>282.83</v>
      </c>
      <c r="C22" s="21" t="n">
        <f aca="false">原始數據!D11+原始數據!E11+原始數據!F11+原始數據!G11</f>
        <v>760.58</v>
      </c>
      <c r="D22" s="22" t="n">
        <f aca="false">B22/C22</f>
        <v>0.371860948223724</v>
      </c>
    </row>
    <row r="24" customFormat="false" ht="15" hidden="false" customHeight="false" outlineLevel="0" collapsed="false">
      <c r="A24" s="31" t="s">
        <v>82</v>
      </c>
    </row>
    <row r="25" customFormat="false" ht="60" hidden="false" customHeight="true" outlineLevel="0" collapsed="false">
      <c r="A25" s="40" t="s">
        <v>139</v>
      </c>
      <c r="B25" s="40"/>
      <c r="C25" s="40"/>
      <c r="D25" s="40"/>
      <c r="E25" s="40"/>
    </row>
  </sheetData>
  <mergeCells count="5">
    <mergeCell ref="A2:F2"/>
    <mergeCell ref="A4:F4"/>
    <mergeCell ref="A17:E17"/>
    <mergeCell ref="A19:E19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2026-08-29T06:36:37Z</dcterms:created>
  <dc:creator>openpyxl</dc:creator>
  <dc:description/>
  <dc:language>en-US</dc:language>
  <cp:lastModifiedBy/>
  <dcterms:modified xsi:type="dcterms:W3CDTF">2026-08-29T14:39:17Z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