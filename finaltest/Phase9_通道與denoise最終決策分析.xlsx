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styles.xml" ContentType="application/vnd.openxmlformats-officedocument.spreadsheetml.styles+xml"/>
  <Override PartName="/xl/comments4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最終決策" sheetId="1" state="visible" r:id="rId3"/>
    <sheet name="原始數據" sheetId="2" state="visible" r:id="rId4"/>
    <sheet name="通道比較" sheetId="3" state="visible" r:id="rId5"/>
    <sheet name="Channel2與Channel3成本效益" sheetId="4" state="visible" r:id="rId6"/>
    <sheet name="Denoise開關評估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Claude</author>
  </authors>
  <commentList>
    <comment ref="E5" authorId="0">
      <text>
        <r>
          <rPr>
            <sz val="10"/>
            <rFont val="Noto Sans CJK SC"/>
            <family val="2"/>
          </rPr>
          <t xml:space="preserve">硬編碼歷史數據，來源：</t>
        </r>
        <r>
          <rPr>
            <sz val="10"/>
            <rFont val="Arial"/>
            <family val="2"/>
          </rPr>
          <t xml:space="preserve">PROJECT_NOTES.md §13.12</t>
        </r>
        <r>
          <rPr>
            <sz val="10"/>
            <rFont val="Noto Sans CJK SC"/>
            <family val="2"/>
          </rPr>
          <t xml:space="preserve">（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Noto Sans CJK SC"/>
            <family val="2"/>
          </rPr>
          <t xml:space="preserve">支真實影片，</t>
        </r>
        <r>
          <rPr>
            <sz val="10"/>
            <rFont val="Arial"/>
            <family val="2"/>
          </rPr>
          <t xml:space="preserve">Phase 0-5</t>
        </r>
        <r>
          <rPr>
            <sz val="10"/>
            <rFont val="Noto Sans CJK SC"/>
            <family val="2"/>
          </rPr>
          <t xml:space="preserve">驗收，</t>
        </r>
        <r>
          <rPr>
            <sz val="10"/>
            <rFont val="Arial"/>
            <family val="2"/>
          </rPr>
          <t xml:space="preserve">2026-07-26</t>
        </r>
        <r>
          <rPr>
            <sz val="10"/>
            <rFont val="Noto Sans CJK SC"/>
            <family val="2"/>
          </rPr>
          <t xml:space="preserve">）。非本次測試產生，供對照本次</t>
        </r>
        <r>
          <rPr>
            <sz val="10"/>
            <rFont val="Arial"/>
            <family val="2"/>
          </rPr>
          <t xml:space="preserve">2</t>
        </r>
        <r>
          <rPr>
            <sz val="10"/>
            <rFont val="Noto Sans CJK SC"/>
            <family val="2"/>
          </rPr>
          <t xml:space="preserve">支影片結果是否一致。</t>
        </r>
      </text>
    </comment>
    <comment ref="E6" authorId="0">
      <text>
        <r>
          <rPr>
            <sz val="10"/>
            <rFont val="Noto Sans CJK SC"/>
            <family val="2"/>
          </rPr>
          <t xml:space="preserve">硬編碼歷史數據，來源：</t>
        </r>
        <r>
          <rPr>
            <sz val="10"/>
            <rFont val="Arial"/>
            <family val="2"/>
          </rPr>
          <t xml:space="preserve">PROJECT_NOTES.md §13.12</t>
        </r>
        <r>
          <rPr>
            <sz val="10"/>
            <rFont val="Noto Sans CJK SC"/>
            <family val="2"/>
          </rPr>
          <t xml:space="preserve">（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Noto Sans CJK SC"/>
            <family val="2"/>
          </rPr>
          <t xml:space="preserve">支真實影片，</t>
        </r>
        <r>
          <rPr>
            <sz val="10"/>
            <rFont val="Arial"/>
            <family val="2"/>
          </rPr>
          <t xml:space="preserve">Phase 0-5</t>
        </r>
        <r>
          <rPr>
            <sz val="10"/>
            <rFont val="Noto Sans CJK SC"/>
            <family val="2"/>
          </rPr>
          <t xml:space="preserve">驗收，</t>
        </r>
        <r>
          <rPr>
            <sz val="10"/>
            <rFont val="Arial"/>
            <family val="2"/>
          </rPr>
          <t xml:space="preserve">2026-07-26</t>
        </r>
        <r>
          <rPr>
            <sz val="10"/>
            <rFont val="Noto Sans CJK SC"/>
            <family val="2"/>
          </rPr>
          <t xml:space="preserve">）。非本次測試產生，供對照本次</t>
        </r>
        <r>
          <rPr>
            <sz val="10"/>
            <rFont val="Arial"/>
            <family val="2"/>
          </rPr>
          <t xml:space="preserve">2</t>
        </r>
        <r>
          <rPr>
            <sz val="10"/>
            <rFont val="Noto Sans CJK SC"/>
            <family val="2"/>
          </rPr>
          <t xml:space="preserve">支影片結果是否一致。</t>
        </r>
      </text>
    </comment>
    <comment ref="E7" authorId="0">
      <text>
        <r>
          <rPr>
            <sz val="10"/>
            <rFont val="Noto Sans CJK SC"/>
            <family val="2"/>
          </rPr>
          <t xml:space="preserve">硬編碼歷史數據，來源：</t>
        </r>
        <r>
          <rPr>
            <sz val="10"/>
            <rFont val="Arial"/>
            <family val="2"/>
          </rPr>
          <t xml:space="preserve">PROJECT_NOTES.md §13.12</t>
        </r>
        <r>
          <rPr>
            <sz val="10"/>
            <rFont val="Noto Sans CJK SC"/>
            <family val="2"/>
          </rPr>
          <t xml:space="preserve">（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Noto Sans CJK SC"/>
            <family val="2"/>
          </rPr>
          <t xml:space="preserve">支真實影片，</t>
        </r>
        <r>
          <rPr>
            <sz val="10"/>
            <rFont val="Arial"/>
            <family val="2"/>
          </rPr>
          <t xml:space="preserve">Phase 0-5</t>
        </r>
        <r>
          <rPr>
            <sz val="10"/>
            <rFont val="Noto Sans CJK SC"/>
            <family val="2"/>
          </rPr>
          <t xml:space="preserve">驗收，</t>
        </r>
        <r>
          <rPr>
            <sz val="10"/>
            <rFont val="Arial"/>
            <family val="2"/>
          </rPr>
          <t xml:space="preserve">2026-07-26</t>
        </r>
        <r>
          <rPr>
            <sz val="10"/>
            <rFont val="Noto Sans CJK SC"/>
            <family val="2"/>
          </rPr>
          <t xml:space="preserve">）。非本次測試產生，供對照本次</t>
        </r>
        <r>
          <rPr>
            <sz val="10"/>
            <rFont val="Arial"/>
            <family val="2"/>
          </rPr>
          <t xml:space="preserve">2</t>
        </r>
        <r>
          <rPr>
            <sz val="10"/>
            <rFont val="Noto Sans CJK SC"/>
            <family val="2"/>
          </rPr>
          <t xml:space="preserve">支影片結果是否一致。</t>
        </r>
      </text>
    </comment>
    <comment ref="E8" authorId="0">
      <text>
        <r>
          <rPr>
            <sz val="10"/>
            <rFont val="Noto Sans CJK SC"/>
            <family val="2"/>
          </rPr>
          <t xml:space="preserve">硬編碼歷史數據，來源：</t>
        </r>
        <r>
          <rPr>
            <sz val="10"/>
            <rFont val="Arial"/>
            <family val="2"/>
          </rPr>
          <t xml:space="preserve">PROJECT_NOTES.md §13.12</t>
        </r>
        <r>
          <rPr>
            <sz val="10"/>
            <rFont val="Noto Sans CJK SC"/>
            <family val="2"/>
          </rPr>
          <t xml:space="preserve">（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Noto Sans CJK SC"/>
            <family val="2"/>
          </rPr>
          <t xml:space="preserve">支真實影片，</t>
        </r>
        <r>
          <rPr>
            <sz val="10"/>
            <rFont val="Arial"/>
            <family val="2"/>
          </rPr>
          <t xml:space="preserve">Phase 0-5</t>
        </r>
        <r>
          <rPr>
            <sz val="10"/>
            <rFont val="Noto Sans CJK SC"/>
            <family val="2"/>
          </rPr>
          <t xml:space="preserve">驗收，</t>
        </r>
        <r>
          <rPr>
            <sz val="10"/>
            <rFont val="Arial"/>
            <family val="2"/>
          </rPr>
          <t xml:space="preserve">2026-07-26</t>
        </r>
        <r>
          <rPr>
            <sz val="10"/>
            <rFont val="Noto Sans CJK SC"/>
            <family val="2"/>
          </rPr>
          <t xml:space="preserve">）。非本次測試產生，供對照本次</t>
        </r>
        <r>
          <rPr>
            <sz val="10"/>
            <rFont val="Arial"/>
            <family val="2"/>
          </rPr>
          <t xml:space="preserve">2</t>
        </r>
        <r>
          <rPr>
            <sz val="10"/>
            <rFont val="Noto Sans CJK SC"/>
            <family val="2"/>
          </rPr>
          <t xml:space="preserve">支影片結果是否一致。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Claude</author>
  </authors>
  <commentList>
    <comment ref="E20" authorId="0">
      <text>
        <r>
          <rPr>
            <sz val="10"/>
            <rFont val="Noto Sans CJK SC"/>
            <family val="2"/>
          </rPr>
          <t xml:space="preserve">來源：</t>
        </r>
        <r>
          <rPr>
            <sz val="10"/>
            <rFont val="Arial"/>
            <family val="2"/>
          </rPr>
          <t xml:space="preserve">finaltest/01_result/stats/channel3_report.csv </t>
        </r>
        <r>
          <rPr>
            <sz val="10"/>
            <rFont val="Noto Sans CJK SC"/>
            <family val="2"/>
          </rPr>
          <t xml:space="preserve">的 </t>
        </r>
        <r>
          <rPr>
            <sz val="10"/>
            <rFont val="Arial"/>
            <family val="2"/>
          </rPr>
          <t xml:space="preserve">module_time_llm_fallback </t>
        </r>
        <r>
          <rPr>
            <sz val="10"/>
            <rFont val="Noto Sans CJK SC"/>
            <family val="2"/>
          </rPr>
          <t xml:space="preserve">欄位（真實數值，</t>
        </r>
        <r>
          <rPr>
            <sz val="10"/>
            <rFont val="Arial"/>
            <family val="2"/>
          </rPr>
          <t xml:space="preserve">Sheet1</t>
        </r>
        <r>
          <rPr>
            <sz val="10"/>
            <rFont val="Noto Sans CJK SC"/>
            <family val="2"/>
          </rPr>
          <t xml:space="preserve">未收錄此細分欄位故於此直接引用）。</t>
        </r>
      </text>
    </comment>
    <comment ref="E21" authorId="0">
      <text>
        <r>
          <rPr>
            <sz val="10"/>
            <rFont val="Noto Sans CJK SC"/>
            <family val="2"/>
          </rPr>
          <t xml:space="preserve">來源：</t>
        </r>
        <r>
          <rPr>
            <sz val="10"/>
            <rFont val="Arial"/>
            <family val="2"/>
          </rPr>
          <t xml:space="preserve">finaltest/02_result/stats/channel3_report.csv </t>
        </r>
        <r>
          <rPr>
            <sz val="10"/>
            <rFont val="Noto Sans CJK SC"/>
            <family val="2"/>
          </rPr>
          <t xml:space="preserve">的 </t>
        </r>
        <r>
          <rPr>
            <sz val="10"/>
            <rFont val="Arial"/>
            <family val="2"/>
          </rPr>
          <t xml:space="preserve">module_time_llm_fallback </t>
        </r>
        <r>
          <rPr>
            <sz val="10"/>
            <rFont val="Noto Sans CJK SC"/>
            <family val="2"/>
          </rPr>
          <t xml:space="preserve">欄位（真實數值，</t>
        </r>
        <r>
          <rPr>
            <sz val="10"/>
            <rFont val="Arial"/>
            <family val="2"/>
          </rPr>
          <t xml:space="preserve">Sheet1</t>
        </r>
        <r>
          <rPr>
            <sz val="10"/>
            <rFont val="Noto Sans CJK SC"/>
            <family val="2"/>
          </rPr>
          <t xml:space="preserve">未收錄此細分欄位故於此直接引用）。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Claude</author>
  </authors>
  <commentList>
    <comment ref="B6" authorId="0">
      <text>
        <r>
          <rPr>
            <sz val="10"/>
            <rFont val="Noto Sans CJK SC"/>
            <family val="2"/>
          </rPr>
          <t xml:space="preserve">歷史真實數據，來源：</t>
        </r>
        <r>
          <rPr>
            <sz val="10"/>
            <rFont val="Arial"/>
            <family val="2"/>
          </rPr>
          <t xml:space="preserve">PROJECT_NOTES.md §12</t>
        </r>
        <r>
          <rPr>
            <sz val="10"/>
            <rFont val="Noto Sans CJK SC"/>
            <family val="2"/>
          </rPr>
          <t xml:space="preserve">（使用者本機 </t>
        </r>
        <r>
          <rPr>
            <sz val="10"/>
            <rFont val="Arial"/>
            <family val="2"/>
          </rPr>
          <t xml:space="preserve">RTX 4060</t>
        </r>
        <r>
          <rPr>
            <sz val="10"/>
            <rFont val="Noto Sans CJK SC"/>
            <family val="2"/>
          </rPr>
          <t xml:space="preserve">，</t>
        </r>
        <r>
          <rPr>
            <sz val="10"/>
            <rFont val="Arial"/>
            <family val="2"/>
          </rPr>
          <t xml:space="preserve">001.mkv</t>
        </r>
        <r>
          <rPr>
            <sz val="10"/>
            <rFont val="Noto Sans CJK SC"/>
            <family val="2"/>
          </rPr>
          <t xml:space="preserve">，</t>
        </r>
        <r>
          <rPr>
            <sz val="10"/>
            <rFont val="Arial"/>
            <family val="2"/>
          </rPr>
          <t xml:space="preserve">619</t>
        </r>
        <r>
          <rPr>
            <sz val="10"/>
            <rFont val="Noto Sans CJK SC"/>
            <family val="2"/>
          </rPr>
          <t xml:space="preserve">影格，</t>
        </r>
        <r>
          <rPr>
            <sz val="10"/>
            <rFont val="Arial"/>
            <family val="2"/>
          </rPr>
          <t xml:space="preserve">2026-07-25</t>
        </r>
        <r>
          <rPr>
            <sz val="10"/>
            <rFont val="Noto Sans CJK SC"/>
            <family val="2"/>
          </rPr>
          <t xml:space="preserve">）。非本次</t>
        </r>
        <r>
          <rPr>
            <sz val="10"/>
            <rFont val="Arial"/>
            <family val="2"/>
          </rPr>
          <t xml:space="preserve">finaltest</t>
        </r>
        <r>
          <rPr>
            <sz val="10"/>
            <rFont val="Noto Sans CJK SC"/>
            <family val="2"/>
          </rPr>
          <t xml:space="preserve">測試產生。</t>
        </r>
      </text>
    </comment>
    <comment ref="B24" authorId="0">
      <text>
        <r>
          <rPr>
            <sz val="10"/>
            <rFont val="Noto Sans CJK SC"/>
            <family val="2"/>
          </rPr>
          <t xml:space="preserve">使用者於 </t>
        </r>
        <r>
          <rPr>
            <sz val="10"/>
            <rFont val="Arial"/>
            <family val="2"/>
          </rPr>
          <t xml:space="preserve">Phase 2 </t>
        </r>
        <r>
          <rPr>
            <sz val="10"/>
            <rFont val="Noto Sans CJK SC"/>
            <family val="2"/>
          </rPr>
          <t xml:space="preserve">訂下的決策規則，見 </t>
        </r>
        <r>
          <rPr>
            <sz val="10"/>
            <rFont val="Arial"/>
            <family val="2"/>
          </rPr>
          <t xml:space="preserve">PROJECT_NOTES.md §8 </t>
        </r>
        <r>
          <rPr>
            <sz val="10"/>
            <rFont val="Noto Sans CJK SC"/>
            <family val="2"/>
          </rPr>
          <t xml:space="preserve">第 </t>
        </r>
        <r>
          <rPr>
            <sz val="10"/>
            <rFont val="Arial"/>
            <family val="2"/>
          </rPr>
          <t xml:space="preserve">3 </t>
        </r>
        <r>
          <rPr>
            <sz val="10"/>
            <rFont val="Noto Sans CJK SC"/>
            <family val="2"/>
          </rPr>
          <t xml:space="preserve">點。</t>
        </r>
      </text>
    </comment>
  </commentList>
</comments>
</file>

<file path=xl/sharedStrings.xml><?xml version="1.0" encoding="utf-8"?>
<sst xmlns="http://schemas.openxmlformats.org/spreadsheetml/2006/main" count="162" uniqueCount="114">
  <si>
    <r>
      <rPr>
        <b val="true"/>
        <sz val="15"/>
        <rFont val="Arial"/>
        <family val="0"/>
        <charset val="1"/>
      </rPr>
      <t xml:space="preserve">Phase 9 </t>
    </r>
    <r>
      <rPr>
        <b val="true"/>
        <sz val="15"/>
        <rFont val="Noto Sans CJK SC"/>
        <family val="2"/>
      </rPr>
      <t xml:space="preserve">最終決策：專案各項目去留</t>
    </r>
  </si>
  <si>
    <r>
      <rPr>
        <i val="true"/>
        <sz val="10"/>
        <color rgb="FF555555"/>
        <rFont val="Noto Sans CJK SC"/>
        <family val="2"/>
      </rPr>
      <t xml:space="preserve">目標：在輸入影片本身長度的時間內，取得最好的辨識輸出結果。依據：</t>
    </r>
    <r>
      <rPr>
        <i val="true"/>
        <sz val="10"/>
        <color rgb="FF555555"/>
        <rFont val="Arial"/>
        <family val="0"/>
        <charset val="1"/>
      </rPr>
      <t xml:space="preserve">finaltest/ 2 </t>
    </r>
    <r>
      <rPr>
        <i val="true"/>
        <sz val="10"/>
        <color rgb="FF555555"/>
        <rFont val="Noto Sans CJK SC"/>
        <family val="2"/>
      </rPr>
      <t xml:space="preserve">支真實影片（</t>
    </r>
    <r>
      <rPr>
        <i val="true"/>
        <sz val="10"/>
        <color rgb="FF555555"/>
        <rFont val="Arial"/>
        <family val="0"/>
        <charset val="1"/>
      </rPr>
      <t xml:space="preserve">01.mkv 12.2</t>
    </r>
    <r>
      <rPr>
        <i val="true"/>
        <sz val="10"/>
        <color rgb="FF555555"/>
        <rFont val="Noto Sans CJK SC"/>
        <family val="2"/>
      </rPr>
      <t xml:space="preserve">分鐘、</t>
    </r>
    <r>
      <rPr>
        <i val="true"/>
        <sz val="10"/>
        <color rgb="FF555555"/>
        <rFont val="Arial"/>
        <family val="0"/>
        <charset val="1"/>
      </rPr>
      <t xml:space="preserve">02.mp4 18.7</t>
    </r>
    <r>
      <rPr>
        <i val="true"/>
        <sz val="10"/>
        <color rgb="FF555555"/>
        <rFont val="Noto Sans CJK SC"/>
        <family val="2"/>
      </rPr>
      <t xml:space="preserve">分鐘）完整跑過 </t>
    </r>
    <r>
      <rPr>
        <i val="true"/>
        <sz val="10"/>
        <color rgb="FF555555"/>
        <rFont val="Arial"/>
        <family val="0"/>
        <charset val="1"/>
      </rPr>
      <t xml:space="preserve">Channel1(4</t>
    </r>
    <r>
      <rPr>
        <i val="true"/>
        <sz val="10"/>
        <color rgb="FF555555"/>
        <rFont val="Noto Sans CJK SC"/>
        <family val="2"/>
      </rPr>
      <t xml:space="preserve">引擎</t>
    </r>
    <r>
      <rPr>
        <i val="true"/>
        <sz val="10"/>
        <color rgb="FF555555"/>
        <rFont val="Arial"/>
        <family val="0"/>
        <charset val="1"/>
      </rPr>
      <t xml:space="preserve">)+Channel2+Channel3</t>
    </r>
    <r>
      <rPr>
        <i val="true"/>
        <sz val="10"/>
        <color rgb="FF555555"/>
        <rFont val="Noto Sans CJK SC"/>
        <family val="2"/>
      </rPr>
      <t xml:space="preserve">、</t>
    </r>
    <r>
      <rPr>
        <i val="true"/>
        <sz val="10"/>
        <color rgb="FF555555"/>
        <rFont val="Arial"/>
        <family val="0"/>
        <charset val="1"/>
      </rPr>
      <t xml:space="preserve">denoise on </t>
    </r>
    <r>
      <rPr>
        <i val="true"/>
        <sz val="10"/>
        <color rgb="FF555555"/>
        <rFont val="Noto Sans CJK SC"/>
        <family val="2"/>
      </rPr>
      <t xml:space="preserve">的真實測試結果，並與歷史 </t>
    </r>
    <r>
      <rPr>
        <i val="true"/>
        <sz val="10"/>
        <color rgb="FF555555"/>
        <rFont val="Arial"/>
        <family val="0"/>
        <charset val="1"/>
      </rPr>
      <t xml:space="preserve">10 </t>
    </r>
    <r>
      <rPr>
        <i val="true"/>
        <sz val="10"/>
        <color rgb="FF555555"/>
        <rFont val="Noto Sans CJK SC"/>
        <family val="2"/>
      </rPr>
      <t xml:space="preserve">支影片真實驗收數據交叉比對。</t>
    </r>
  </si>
  <si>
    <t xml:space="preserve">建議最終管線</t>
  </si>
  <si>
    <r>
      <rPr>
        <b val="true"/>
        <sz val="11"/>
        <color rgb="FF1F4E78"/>
        <rFont val="Arial"/>
        <family val="0"/>
        <charset val="1"/>
      </rPr>
      <t xml:space="preserve">Phase1</t>
    </r>
    <r>
      <rPr>
        <b val="true"/>
        <sz val="11"/>
        <color rgb="FF1F4E78"/>
        <rFont val="Noto Sans CJK SC"/>
        <family val="2"/>
      </rPr>
      <t xml:space="preserve">擷取 → </t>
    </r>
    <r>
      <rPr>
        <b val="true"/>
        <sz val="11"/>
        <color rgb="FF1F4E78"/>
        <rFont val="Arial"/>
        <family val="0"/>
        <charset val="1"/>
      </rPr>
      <t xml:space="preserve">Phase2</t>
    </r>
    <r>
      <rPr>
        <b val="true"/>
        <sz val="11"/>
        <color rgb="FF1F4E78"/>
        <rFont val="Noto Sans CJK SC"/>
        <family val="2"/>
      </rPr>
      <t xml:space="preserve">前處理</t>
    </r>
    <r>
      <rPr>
        <b val="true"/>
        <sz val="11"/>
        <color rgb="FF1F4E78"/>
        <rFont val="Arial"/>
        <family val="0"/>
        <charset val="1"/>
      </rPr>
      <t xml:space="preserve">(denoise OFF) → Phase3 OCR → Channel1(Komoran) → CSV/Anki</t>
    </r>
    <r>
      <rPr>
        <b val="true"/>
        <sz val="11"/>
        <color rgb="FF1F4E78"/>
        <rFont val="Noto Sans CJK SC"/>
        <family val="2"/>
      </rPr>
      <t xml:space="preserve">匯出</t>
    </r>
  </si>
  <si>
    <t xml:space="preserve">預期平均時間預算比</t>
  </si>
  <si>
    <r>
      <rPr>
        <i val="true"/>
        <sz val="9"/>
        <color rgb="FF777777"/>
        <rFont val="Arial"/>
        <family val="0"/>
        <charset val="1"/>
      </rPr>
      <t xml:space="preserve">(&lt; 100% </t>
    </r>
    <r>
      <rPr>
        <i val="true"/>
        <sz val="9"/>
        <color rgb="FF777777"/>
        <rFont val="Noto Sans CJK SC"/>
        <family val="2"/>
      </rPr>
      <t xml:space="preserve">代表處理時間快於影片本身長度，數字愈小代表餘裕愈大</t>
    </r>
    <r>
      <rPr>
        <i val="true"/>
        <sz val="9"/>
        <color rgb="FF777777"/>
        <rFont val="Arial"/>
        <family val="0"/>
        <charset val="1"/>
      </rPr>
      <t xml:space="preserve">)</t>
    </r>
  </si>
  <si>
    <t xml:space="preserve">項目</t>
  </si>
  <si>
    <t xml:space="preserve">決定</t>
  </si>
  <si>
    <t xml:space="preserve">關鍵數據（連結其他分頁，可隨資料更新自動變化）</t>
  </si>
  <si>
    <t xml:space="preserve">理由</t>
  </si>
  <si>
    <r>
      <rPr>
        <b val="true"/>
        <sz val="11"/>
        <rFont val="Arial"/>
        <family val="0"/>
        <charset val="1"/>
      </rPr>
      <t xml:space="preserve">Channel1 </t>
    </r>
    <r>
      <rPr>
        <b val="true"/>
        <sz val="11"/>
        <rFont val="Noto Sans CJK SC"/>
        <family val="2"/>
      </rPr>
      <t xml:space="preserve">子引擎</t>
    </r>
  </si>
  <si>
    <r>
      <rPr>
        <b val="true"/>
        <sz val="10"/>
        <rFont val="Noto Sans CJK SC"/>
        <family val="2"/>
      </rPr>
      <t xml:space="preserve">保留 </t>
    </r>
    <r>
      <rPr>
        <b val="true"/>
        <sz val="10"/>
        <rFont val="Arial"/>
        <family val="0"/>
        <charset val="1"/>
      </rPr>
      <t xml:space="preserve">Komoran</t>
    </r>
    <r>
      <rPr>
        <b val="true"/>
        <sz val="10"/>
        <rFont val="Noto Sans CJK SC"/>
        <family val="2"/>
      </rPr>
      <t xml:space="preserve">，其餘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引擎</t>
    </r>
    <r>
      <rPr>
        <b val="true"/>
        <sz val="10"/>
        <rFont val="Arial"/>
        <family val="0"/>
        <charset val="1"/>
      </rPr>
      <t xml:space="preserve">(Okt/Kkma/Mecab)</t>
    </r>
    <r>
      <rPr>
        <b val="true"/>
        <sz val="10"/>
        <rFont val="Noto Sans CJK SC"/>
        <family val="2"/>
      </rPr>
      <t xml:space="preserve">不進最終版</t>
    </r>
  </si>
  <si>
    <r>
      <rPr>
        <sz val="10"/>
        <rFont val="Arial"/>
        <family val="0"/>
        <charset val="1"/>
      </rPr>
      <t xml:space="preserve">Komoran </t>
    </r>
    <r>
      <rPr>
        <sz val="10"/>
        <rFont val="Noto Sans CJK SC"/>
        <family val="2"/>
      </rPr>
      <t xml:space="preserve">在「歷史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支影片」與「本次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支影片」共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個獨立樣本中，字典命中率與效率分數皆排名第一；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引擎間耗時差異對總管線時間佔比影響</t>
    </r>
    <r>
      <rPr>
        <sz val="10"/>
        <rFont val="Arial"/>
        <family val="0"/>
        <charset val="1"/>
      </rPr>
      <t xml:space="preserve">&lt;2%</t>
    </r>
    <r>
      <rPr>
        <sz val="10"/>
        <rFont val="Noto Sans CJK SC"/>
        <family val="2"/>
      </rPr>
      <t xml:space="preserve">，可忽略。</t>
    </r>
    <r>
      <rPr>
        <sz val="10"/>
        <rFont val="Arial"/>
        <family val="0"/>
        <charset val="1"/>
      </rPr>
      <t xml:space="preserve">Okt </t>
    </r>
    <r>
      <rPr>
        <sz val="10"/>
        <rFont val="Noto Sans CJK SC"/>
        <family val="2"/>
      </rPr>
      <t xml:space="preserve">因不拆語幹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語尾，命中率在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個樣本中皆最低。</t>
    </r>
  </si>
  <si>
    <r>
      <rPr>
        <b val="true"/>
        <sz val="11"/>
        <rFont val="Arial"/>
        <family val="0"/>
        <charset val="1"/>
      </rPr>
      <t xml:space="preserve">Channel2</t>
    </r>
    <r>
      <rPr>
        <b val="true"/>
        <sz val="11"/>
        <rFont val="Noto Sans CJK SC"/>
        <family val="2"/>
      </rPr>
      <t xml:space="preserve">（純</t>
    </r>
    <r>
      <rPr>
        <b val="true"/>
        <sz val="11"/>
        <rFont val="Arial"/>
        <family val="0"/>
        <charset val="1"/>
      </rPr>
      <t xml:space="preserve">LLM</t>
    </r>
    <r>
      <rPr>
        <b val="true"/>
        <sz val="11"/>
        <rFont val="Noto Sans CJK SC"/>
        <family val="2"/>
      </rPr>
      <t xml:space="preserve">）</t>
    </r>
  </si>
  <si>
    <t xml:space="preserve">不納入最終版（問題可修復，供未來參考）</t>
  </si>
  <si>
    <r>
      <rPr>
        <sz val="10"/>
        <rFont val="Noto Sans CJK SC"/>
        <family val="2"/>
      </rPr>
      <t xml:space="preserve">根本原因：</t>
    </r>
    <r>
      <rPr>
        <sz val="10"/>
        <rFont val="Arial"/>
        <family val="0"/>
        <charset val="1"/>
      </rPr>
      <t xml:space="preserve">Ollama 60</t>
    </r>
    <r>
      <rPr>
        <sz val="10"/>
        <rFont val="Noto Sans CJK SC"/>
        <family val="2"/>
      </rPr>
      <t xml:space="preserve">秒逾時例外</t>
    </r>
    <r>
      <rPr>
        <sz val="10"/>
        <rFont val="Arial"/>
        <family val="0"/>
        <charset val="1"/>
      </rPr>
      <t xml:space="preserve">(ReadTimeout)</t>
    </r>
    <r>
      <rPr>
        <sz val="10"/>
        <rFont val="Noto Sans CJK SC"/>
        <family val="2"/>
      </rPr>
      <t xml:space="preserve">未被攔截，導致整個</t>
    </r>
    <r>
      <rPr>
        <sz val="10"/>
        <rFont val="Arial"/>
        <family val="0"/>
        <charset val="1"/>
      </rPr>
      <t xml:space="preserve">Channel2</t>
    </r>
    <r>
      <rPr>
        <sz val="10"/>
        <rFont val="Noto Sans CJK SC"/>
        <family val="2"/>
      </rPr>
      <t xml:space="preserve">階段直接崩潰、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筆輸出，而非優雅跳過該句。此為可修復的工程問題（加長</t>
    </r>
    <r>
      <rPr>
        <sz val="10"/>
        <rFont val="Arial"/>
        <family val="0"/>
        <charset val="1"/>
      </rPr>
      <t xml:space="preserve">timeout+</t>
    </r>
    <r>
      <rPr>
        <sz val="10"/>
        <rFont val="Noto Sans CJK SC"/>
        <family val="2"/>
      </rPr>
      <t xml:space="preserve">補例外處理），但以目前實測結果不符合最終版可靠度門檻，故不納入。</t>
    </r>
  </si>
  <si>
    <r>
      <rPr>
        <b val="true"/>
        <sz val="11"/>
        <rFont val="Arial"/>
        <family val="0"/>
        <charset val="1"/>
      </rPr>
      <t xml:space="preserve">Channel3</t>
    </r>
    <r>
      <rPr>
        <b val="true"/>
        <sz val="11"/>
        <rFont val="Noto Sans CJK SC"/>
        <family val="2"/>
      </rPr>
      <t xml:space="preserve">（字典</t>
    </r>
    <r>
      <rPr>
        <b val="true"/>
        <sz val="11"/>
        <rFont val="Arial"/>
        <family val="0"/>
        <charset val="1"/>
      </rPr>
      <t xml:space="preserve">+LLM fallback</t>
    </r>
    <r>
      <rPr>
        <b val="true"/>
        <sz val="11"/>
        <rFont val="Noto Sans CJK SC"/>
        <family val="2"/>
      </rPr>
      <t xml:space="preserve">）</t>
    </r>
  </si>
  <si>
    <t xml:space="preserve">不納入最終版</t>
  </si>
  <si>
    <r>
      <rPr>
        <sz val="10"/>
        <rFont val="Arial"/>
        <family val="0"/>
        <charset val="1"/>
      </rPr>
      <t xml:space="preserve">LLM fallback </t>
    </r>
    <r>
      <rPr>
        <sz val="10"/>
        <rFont val="Noto Sans CJK SC"/>
        <family val="2"/>
      </rPr>
      <t xml:space="preserve">耗時占</t>
    </r>
    <r>
      <rPr>
        <sz val="10"/>
        <rFont val="Arial"/>
        <family val="0"/>
        <charset val="1"/>
      </rPr>
      <t xml:space="preserve">Channel3</t>
    </r>
    <r>
      <rPr>
        <sz val="10"/>
        <rFont val="Noto Sans CJK SC"/>
        <family val="2"/>
      </rPr>
      <t xml:space="preserve">自身耗時</t>
    </r>
    <r>
      <rPr>
        <sz val="10"/>
        <rFont val="Arial"/>
        <family val="0"/>
        <charset val="1"/>
      </rPr>
      <t xml:space="preserve">85-87%</t>
    </r>
    <r>
      <rPr>
        <sz val="10"/>
        <rFont val="Noto Sans CJK SC"/>
        <family val="2"/>
      </rPr>
      <t xml:space="preserve">，但成功率僅</t>
    </r>
    <r>
      <rPr>
        <sz val="10"/>
        <rFont val="Arial"/>
        <family val="0"/>
        <charset val="1"/>
      </rPr>
      <t xml:space="preserve">1.6-2.6%</t>
    </r>
    <r>
      <rPr>
        <sz val="10"/>
        <rFont val="Noto Sans CJK SC"/>
        <family val="2"/>
      </rPr>
      <t xml:space="preserve">（與歷史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支影片</t>
    </r>
    <r>
      <rPr>
        <sz val="10"/>
        <rFont val="Arial"/>
        <family val="0"/>
        <charset val="1"/>
      </rPr>
      <t xml:space="preserve">1.7%</t>
    </r>
    <r>
      <rPr>
        <sz val="10"/>
        <rFont val="Noto Sans CJK SC"/>
        <family val="2"/>
      </rPr>
      <t xml:space="preserve">一致）。命中率在兩支影片中皆未超過直接使用 </t>
    </r>
    <r>
      <rPr>
        <sz val="10"/>
        <rFont val="Arial"/>
        <family val="0"/>
        <charset val="1"/>
      </rPr>
      <t xml:space="preserve">Channel1-Komoran</t>
    </r>
    <r>
      <rPr>
        <sz val="10"/>
        <rFont val="Noto Sans CJK SC"/>
        <family val="2"/>
      </rPr>
      <t xml:space="preserve">，等於「多花時間、效果更差」，無任何真實樣本支持保留。</t>
    </r>
  </si>
  <si>
    <r>
      <rPr>
        <b val="true"/>
        <sz val="11"/>
        <rFont val="Arial"/>
        <family val="0"/>
        <charset val="1"/>
      </rPr>
      <t xml:space="preserve">Denoise</t>
    </r>
    <r>
      <rPr>
        <b val="true"/>
        <sz val="11"/>
        <rFont val="Noto Sans CJK SC"/>
        <family val="2"/>
      </rPr>
      <t xml:space="preserve">（去雜訊）</t>
    </r>
  </si>
  <si>
    <r>
      <rPr>
        <b val="true"/>
        <sz val="10"/>
        <rFont val="Noto Sans CJK SC"/>
        <family val="2"/>
      </rPr>
      <t xml:space="preserve">預設關閉（</t>
    </r>
    <r>
      <rPr>
        <b val="true"/>
        <sz val="10"/>
        <rFont val="Arial"/>
        <family val="0"/>
        <charset val="1"/>
      </rPr>
      <t xml:space="preserve">OFF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</si>
  <si>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直接套用使用者於</t>
    </r>
    <r>
      <rPr>
        <sz val="10"/>
        <rFont val="Arial"/>
        <family val="0"/>
        <charset val="1"/>
      </rPr>
      <t xml:space="preserve">Phase2</t>
    </r>
    <r>
      <rPr>
        <sz val="10"/>
        <rFont val="Noto Sans CJK SC"/>
        <family val="2"/>
      </rPr>
      <t xml:space="preserve">訂下的決策規則（品質提升需≥</t>
    </r>
    <r>
      <rPr>
        <sz val="10"/>
        <rFont val="Arial"/>
        <family val="0"/>
        <charset val="1"/>
      </rPr>
      <t xml:space="preserve">15%</t>
    </r>
    <r>
      <rPr>
        <sz val="10"/>
        <rFont val="Noto Sans CJK SC"/>
        <family val="2"/>
      </rPr>
      <t xml:space="preserve">才維持開啟）。歷史實測品質差異僅約</t>
    </r>
    <r>
      <rPr>
        <sz val="10"/>
        <rFont val="Arial"/>
        <family val="0"/>
        <charset val="1"/>
      </rPr>
      <t xml:space="preserve">2%</t>
    </r>
    <r>
      <rPr>
        <sz val="10"/>
        <rFont val="Noto Sans CJK SC"/>
        <family val="2"/>
      </rPr>
      <t xml:space="preserve">且方向不一致，遠低於門檻；關閉可讓時間預算比從平均約</t>
    </r>
    <r>
      <rPr>
        <sz val="10"/>
        <rFont val="Arial"/>
        <family val="0"/>
        <charset val="1"/>
      </rPr>
      <t xml:space="preserve">0.67</t>
    </r>
    <r>
      <rPr>
        <sz val="10"/>
        <rFont val="Noto Sans CJK SC"/>
        <family val="2"/>
      </rPr>
      <t xml:space="preserve">降至約</t>
    </r>
    <r>
      <rPr>
        <sz val="10"/>
        <rFont val="Arial"/>
        <family val="0"/>
        <charset val="1"/>
      </rPr>
      <t xml:space="preserve">0.46</t>
    </r>
    <r>
      <rPr>
        <sz val="10"/>
        <rFont val="Noto Sans CJK SC"/>
        <family val="2"/>
      </rPr>
      <t xml:space="preserve">，大幅增加「在影片長度時間內完成」的餘裕。</t>
    </r>
  </si>
  <si>
    <r>
      <rPr>
        <i val="true"/>
        <sz val="9"/>
        <color rgb="FF777777"/>
        <rFont val="Noto Sans CJK SC"/>
        <family val="2"/>
      </rPr>
      <t xml:space="preserve">備註：</t>
    </r>
    <r>
      <rPr>
        <i val="true"/>
        <sz val="9"/>
        <color rgb="FF777777"/>
        <rFont val="Arial"/>
        <family val="0"/>
        <charset val="1"/>
      </rPr>
      <t xml:space="preserve">Anki/CSV </t>
    </r>
    <r>
      <rPr>
        <i val="true"/>
        <sz val="9"/>
        <color rgb="FF777777"/>
        <rFont val="Noto Sans CJK SC"/>
        <family val="2"/>
      </rPr>
      <t xml:space="preserve">匯出（</t>
    </r>
    <r>
      <rPr>
        <i val="true"/>
        <sz val="9"/>
        <color rgb="FF777777"/>
        <rFont val="Arial"/>
        <family val="0"/>
        <charset val="1"/>
      </rPr>
      <t xml:space="preserve">Phase 8</t>
    </r>
    <r>
      <rPr>
        <i val="true"/>
        <sz val="9"/>
        <color rgb="FF777777"/>
        <rFont val="Noto Sans CJK SC"/>
        <family val="2"/>
      </rPr>
      <t xml:space="preserve">）使用者已於</t>
    </r>
    <r>
      <rPr>
        <i val="true"/>
        <sz val="9"/>
        <color rgb="FF777777"/>
        <rFont val="Arial"/>
        <family val="0"/>
        <charset val="1"/>
      </rPr>
      <t xml:space="preserve">2026-07-27</t>
    </r>
    <r>
      <rPr>
        <i val="true"/>
        <sz val="9"/>
        <color rgb="FF777777"/>
        <rFont val="Noto Sans CJK SC"/>
        <family val="2"/>
      </rPr>
      <t xml:space="preserve">確認結構與內容皆正確，不在本次去留決策範圍內，維持現狀。</t>
    </r>
    <r>
      <rPr>
        <i val="true"/>
        <sz val="9"/>
        <color rgb="FF777777"/>
        <rFont val="Arial"/>
        <family val="0"/>
        <charset val="1"/>
      </rPr>
      <t xml:space="preserve">Channel2</t>
    </r>
    <r>
      <rPr>
        <i val="true"/>
        <sz val="9"/>
        <color rgb="FF777777"/>
        <rFont val="Noto Sans CJK SC"/>
        <family val="2"/>
      </rPr>
      <t xml:space="preserve">、</t>
    </r>
    <r>
      <rPr>
        <i val="true"/>
        <sz val="9"/>
        <color rgb="FF777777"/>
        <rFont val="Arial"/>
        <family val="0"/>
        <charset val="1"/>
      </rPr>
      <t xml:space="preserve">Channel3 </t>
    </r>
    <r>
      <rPr>
        <i val="true"/>
        <sz val="9"/>
        <color rgb="FF777777"/>
        <rFont val="Noto Sans CJK SC"/>
        <family val="2"/>
      </rPr>
      <t xml:space="preserve">的程式碼與測試維持在專案中（不刪除），僅是「最終產品預設不啟用」，未來若修復</t>
    </r>
    <r>
      <rPr>
        <i val="true"/>
        <sz val="9"/>
        <color rgb="FF777777"/>
        <rFont val="Arial"/>
        <family val="0"/>
        <charset val="1"/>
      </rPr>
      <t xml:space="preserve">Channel2</t>
    </r>
    <r>
      <rPr>
        <i val="true"/>
        <sz val="9"/>
        <color rgb="FF777777"/>
        <rFont val="Noto Sans CJK SC"/>
        <family val="2"/>
      </rPr>
      <t xml:space="preserve">逾時問題或找到更好的</t>
    </r>
    <r>
      <rPr>
        <i val="true"/>
        <sz val="9"/>
        <color rgb="FF777777"/>
        <rFont val="Arial"/>
        <family val="0"/>
        <charset val="1"/>
      </rPr>
      <t xml:space="preserve">fallback</t>
    </r>
    <r>
      <rPr>
        <i val="true"/>
        <sz val="9"/>
        <color rgb="FF777777"/>
        <rFont val="Noto Sans CJK SC"/>
        <family val="2"/>
      </rPr>
      <t xml:space="preserve">策略，仍可重新評估。</t>
    </r>
  </si>
  <si>
    <r>
      <rPr>
        <b val="true"/>
        <sz val="14"/>
        <rFont val="Arial"/>
        <family val="0"/>
        <charset val="1"/>
      </rPr>
      <t xml:space="preserve">Phase 9 </t>
    </r>
    <r>
      <rPr>
        <b val="true"/>
        <sz val="14"/>
        <rFont val="Noto Sans CJK SC"/>
        <family val="2"/>
      </rPr>
      <t xml:space="preserve">最終測試：原始數據（</t>
    </r>
    <r>
      <rPr>
        <b val="true"/>
        <sz val="14"/>
        <rFont val="Arial"/>
        <family val="0"/>
        <charset val="1"/>
      </rPr>
      <t xml:space="preserve">100% </t>
    </r>
    <r>
      <rPr>
        <b val="true"/>
        <sz val="14"/>
        <rFont val="Noto Sans CJK SC"/>
        <family val="2"/>
      </rPr>
      <t xml:space="preserve">來自 </t>
    </r>
    <r>
      <rPr>
        <b val="true"/>
        <sz val="14"/>
        <rFont val="Arial"/>
        <family val="0"/>
        <charset val="1"/>
      </rPr>
      <t xml:space="preserve">finaltest/ </t>
    </r>
    <r>
      <rPr>
        <b val="true"/>
        <sz val="14"/>
        <rFont val="Noto Sans CJK SC"/>
        <family val="2"/>
      </rPr>
      <t xml:space="preserve">真實 </t>
    </r>
    <r>
      <rPr>
        <b val="true"/>
        <sz val="14"/>
        <rFont val="Arial"/>
        <family val="0"/>
        <charset val="1"/>
      </rPr>
      <t xml:space="preserve">job </t>
    </r>
    <r>
      <rPr>
        <b val="true"/>
        <sz val="14"/>
        <rFont val="Noto Sans CJK SC"/>
        <family val="2"/>
      </rPr>
      <t xml:space="preserve">執行結果）</t>
    </r>
  </si>
  <si>
    <r>
      <rPr>
        <i val="true"/>
        <sz val="10"/>
        <color rgb="FF555555"/>
        <rFont val="Noto Sans CJK SC"/>
        <family val="2"/>
      </rPr>
      <t xml:space="preserve">資料來源：</t>
    </r>
    <r>
      <rPr>
        <i val="true"/>
        <sz val="10"/>
        <color rgb="FF555555"/>
        <rFont val="Arial"/>
        <family val="0"/>
        <charset val="1"/>
      </rPr>
      <t xml:space="preserve">finaltest/01_status.json</t>
    </r>
    <r>
      <rPr>
        <i val="true"/>
        <sz val="10"/>
        <color rgb="FF555555"/>
        <rFont val="Noto Sans CJK SC"/>
        <family val="2"/>
      </rPr>
      <t xml:space="preserve">、</t>
    </r>
    <r>
      <rPr>
        <i val="true"/>
        <sz val="10"/>
        <color rgb="FF555555"/>
        <rFont val="Arial"/>
        <family val="0"/>
        <charset val="1"/>
      </rPr>
      <t xml:space="preserve">02_status.json</t>
    </r>
    <r>
      <rPr>
        <i val="true"/>
        <sz val="10"/>
        <color rgb="FF555555"/>
        <rFont val="Noto Sans CJK SC"/>
        <family val="2"/>
      </rPr>
      <t xml:space="preserve">、</t>
    </r>
    <r>
      <rPr>
        <i val="true"/>
        <sz val="10"/>
        <color rgb="FF555555"/>
        <rFont val="Arial"/>
        <family val="0"/>
        <charset val="1"/>
      </rPr>
      <t xml:space="preserve">0X_result/stats/*_report.csv</t>
    </r>
    <r>
      <rPr>
        <i val="true"/>
        <sz val="10"/>
        <color rgb="FF555555"/>
        <rFont val="Noto Sans CJK SC"/>
        <family val="2"/>
      </rPr>
      <t xml:space="preserve">、</t>
    </r>
    <r>
      <rPr>
        <i val="true"/>
        <sz val="10"/>
        <color rgb="FF555555"/>
        <rFont val="Arial"/>
        <family val="0"/>
        <charset val="1"/>
      </rPr>
      <t xml:space="preserve">0X_result/frames/manifest.csv</t>
    </r>
    <r>
      <rPr>
        <i val="true"/>
        <sz val="10"/>
        <color rgb="FF555555"/>
        <rFont val="Noto Sans CJK SC"/>
        <family val="2"/>
      </rPr>
      <t xml:space="preserve">（皆為使用者本機真實 </t>
    </r>
    <r>
      <rPr>
        <i val="true"/>
        <sz val="10"/>
        <color rgb="FF555555"/>
        <rFont val="Arial"/>
        <family val="0"/>
        <charset val="1"/>
      </rPr>
      <t xml:space="preserve">GPU + Ollama </t>
    </r>
    <r>
      <rPr>
        <i val="true"/>
        <sz val="10"/>
        <color rgb="FF555555"/>
        <rFont val="Noto Sans CJK SC"/>
        <family val="2"/>
      </rPr>
      <t xml:space="preserve">執行結果，非模擬）</t>
    </r>
  </si>
  <si>
    <t xml:space="preserve">影片</t>
  </si>
  <si>
    <r>
      <rPr>
        <b val="true"/>
        <sz val="11"/>
        <color rgb="FFFFFFFF"/>
        <rFont val="Noto Sans CJK SC"/>
        <family val="2"/>
      </rPr>
      <t xml:space="preserve">影片時長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秒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</si>
  <si>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影格數</t>
  </si>
  <si>
    <t xml:space="preserve">通道</t>
  </si>
  <si>
    <r>
      <rPr>
        <b val="true"/>
        <sz val="11"/>
        <color rgb="FFFFFFFF"/>
        <rFont val="Arial"/>
        <family val="0"/>
        <charset val="1"/>
      </rPr>
      <t xml:space="preserve">Phase1</t>
    </r>
    <r>
      <rPr>
        <b val="true"/>
        <sz val="11"/>
        <color rgb="FFFFFFFF"/>
        <rFont val="Noto Sans CJK SC"/>
        <family val="2"/>
      </rPr>
      <t xml:space="preserve">擷取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秒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</si>
  <si>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Phase2</t>
    </r>
    <r>
      <rPr>
        <b val="true"/>
        <sz val="11"/>
        <color rgb="FFFFFFFF"/>
        <rFont val="Noto Sans CJK SC"/>
        <family val="2"/>
      </rPr>
      <t xml:space="preserve">前處理</t>
    </r>
    <r>
      <rPr>
        <b val="true"/>
        <sz val="11"/>
        <color rgb="FFFFFFFF"/>
        <rFont val="Arial"/>
        <family val="0"/>
        <charset val="1"/>
      </rPr>
      <t xml:space="preserve">denoise_on(</t>
    </r>
    <r>
      <rPr>
        <b val="true"/>
        <sz val="11"/>
        <color rgb="FFFFFFFF"/>
        <rFont val="Noto Sans CJK SC"/>
        <family val="2"/>
      </rPr>
      <t xml:space="preserve">秒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</si>
  <si>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Phase3 OCR(</t>
    </r>
    <r>
      <rPr>
        <b val="true"/>
        <sz val="11"/>
        <color rgb="FFFFFFFF"/>
        <rFont val="Noto Sans CJK SC"/>
        <family val="2"/>
      </rPr>
      <t xml:space="preserve">秒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</si>
  <si>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共用耗時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秒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</si>
  <si>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通道自身耗時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秒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</si>
  <si>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總管線耗時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秒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</si>
  <si>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時間預算比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總耗時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影片時長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</si>
  <si>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詞彙數</t>
  </si>
  <si>
    <t xml:space="preserve">字典命中數</t>
  </si>
  <si>
    <t xml:space="preserve">字典命中率</t>
  </si>
  <si>
    <r>
      <rPr>
        <b val="true"/>
        <sz val="11"/>
        <color rgb="FFFFFFFF"/>
        <rFont val="Arial"/>
        <family val="0"/>
        <charset val="1"/>
      </rPr>
      <t xml:space="preserve">LLM</t>
    </r>
    <r>
      <rPr>
        <b val="true"/>
        <sz val="11"/>
        <color rgb="FFFFFFFF"/>
        <rFont val="Noto Sans CJK SC"/>
        <family val="2"/>
      </rPr>
      <t xml:space="preserve">呼叫次數</t>
    </r>
  </si>
  <si>
    <r>
      <rPr>
        <b val="true"/>
        <sz val="11"/>
        <color rgb="FFFFFFFF"/>
        <rFont val="Arial"/>
        <family val="0"/>
        <charset val="1"/>
      </rPr>
      <t xml:space="preserve">fallback</t>
    </r>
    <r>
      <rPr>
        <b val="true"/>
        <sz val="11"/>
        <color rgb="FFFFFFFF"/>
        <rFont val="Noto Sans CJK SC"/>
        <family val="2"/>
      </rPr>
      <t xml:space="preserve">成功</t>
    </r>
  </si>
  <si>
    <r>
      <rPr>
        <b val="true"/>
        <sz val="11"/>
        <color rgb="FFFFFFFF"/>
        <rFont val="Arial"/>
        <family val="0"/>
        <charset val="1"/>
      </rPr>
      <t xml:space="preserve">fallback</t>
    </r>
    <r>
      <rPr>
        <b val="true"/>
        <sz val="11"/>
        <color rgb="FFFFFFFF"/>
        <rFont val="Noto Sans CJK SC"/>
        <family val="2"/>
      </rPr>
      <t xml:space="preserve">失敗</t>
    </r>
  </si>
  <si>
    <t xml:space="preserve">備註</t>
  </si>
  <si>
    <t xml:space="preserve">01.mkv</t>
  </si>
  <si>
    <t xml:space="preserve">Channel1-Okt</t>
  </si>
  <si>
    <t xml:space="preserve">Channel1-Komoran</t>
  </si>
  <si>
    <t xml:space="preserve">Channel1-Kkma</t>
  </si>
  <si>
    <t xml:space="preserve">Channel1-Mecab</t>
  </si>
  <si>
    <t xml:space="preserve">Channel3</t>
  </si>
  <si>
    <t xml:space="preserve">channel2</t>
  </si>
  <si>
    <t xml:space="preserve">N/A</t>
  </si>
  <si>
    <r>
      <rPr>
        <sz val="10"/>
        <rFont val="Noto Sans CJK SC"/>
        <family val="2"/>
      </rPr>
      <t xml:space="preserve">執行失敗：</t>
    </r>
    <r>
      <rPr>
        <sz val="10"/>
        <rFont val="Arial"/>
        <family val="0"/>
        <charset val="1"/>
      </rPr>
      <t xml:space="preserve">ReadTimeout: HTTPConnectionPool(host='localhost', port=11434): Read timed out. (read timeout=60.0)</t>
    </r>
  </si>
  <si>
    <t xml:space="preserve">02.mp4</t>
  </si>
  <si>
    <r>
      <rPr>
        <b val="true"/>
        <sz val="14"/>
        <rFont val="Arial"/>
        <family val="0"/>
        <charset val="1"/>
      </rPr>
      <t xml:space="preserve">Channel 1</t>
    </r>
    <r>
      <rPr>
        <b val="true"/>
        <sz val="14"/>
        <rFont val="Noto Sans CJK SC"/>
        <family val="2"/>
      </rPr>
      <t xml:space="preserve">（</t>
    </r>
    <r>
      <rPr>
        <b val="true"/>
        <sz val="14"/>
        <rFont val="Arial"/>
        <family val="0"/>
        <charset val="1"/>
      </rPr>
      <t xml:space="preserve">4</t>
    </r>
    <r>
      <rPr>
        <b val="true"/>
        <sz val="14"/>
        <rFont val="Noto Sans CJK SC"/>
        <family val="2"/>
      </rPr>
      <t xml:space="preserve">子引擎）與 </t>
    </r>
    <r>
      <rPr>
        <b val="true"/>
        <sz val="14"/>
        <rFont val="Arial"/>
        <family val="0"/>
        <charset val="1"/>
      </rPr>
      <t xml:space="preserve">Channel 3 </t>
    </r>
    <r>
      <rPr>
        <b val="true"/>
        <sz val="14"/>
        <rFont val="Noto Sans CJK SC"/>
        <family val="2"/>
      </rPr>
      <t xml:space="preserve">比較：字典命中率 </t>
    </r>
    <r>
      <rPr>
        <b val="true"/>
        <sz val="14"/>
        <rFont val="Arial"/>
        <family val="0"/>
        <charset val="1"/>
      </rPr>
      <t xml:space="preserve">vs </t>
    </r>
    <r>
      <rPr>
        <b val="true"/>
        <sz val="14"/>
        <rFont val="Noto Sans CJK SC"/>
        <family val="2"/>
      </rPr>
      <t xml:space="preserve">時間預算比</t>
    </r>
  </si>
  <si>
    <r>
      <rPr>
        <i val="true"/>
        <sz val="10"/>
        <color rgb="FF555555"/>
        <rFont val="Noto Sans CJK SC"/>
        <family val="2"/>
      </rPr>
      <t xml:space="preserve">時間預算比 </t>
    </r>
    <r>
      <rPr>
        <i val="true"/>
        <sz val="10"/>
        <color rgb="FF555555"/>
        <rFont val="Arial"/>
        <family val="0"/>
        <charset val="1"/>
      </rPr>
      <t xml:space="preserve">= </t>
    </r>
    <r>
      <rPr>
        <i val="true"/>
        <sz val="10"/>
        <color rgb="FF555555"/>
        <rFont val="Noto Sans CJK SC"/>
        <family val="2"/>
      </rPr>
      <t xml:space="preserve">該通道總管線耗時 </t>
    </r>
    <r>
      <rPr>
        <i val="true"/>
        <sz val="10"/>
        <color rgb="FF555555"/>
        <rFont val="Arial"/>
        <family val="0"/>
        <charset val="1"/>
      </rPr>
      <t xml:space="preserve">÷ </t>
    </r>
    <r>
      <rPr>
        <i val="true"/>
        <sz val="10"/>
        <color rgb="FF555555"/>
        <rFont val="Noto Sans CJK SC"/>
        <family val="2"/>
      </rPr>
      <t xml:space="preserve">影片本身時長；</t>
    </r>
    <r>
      <rPr>
        <i val="true"/>
        <sz val="10"/>
        <color rgb="FF555555"/>
        <rFont val="Arial"/>
        <family val="0"/>
        <charset val="1"/>
      </rPr>
      <t xml:space="preserve">&lt;1.0 </t>
    </r>
    <r>
      <rPr>
        <i val="true"/>
        <sz val="10"/>
        <color rgb="FF555555"/>
        <rFont val="Noto Sans CJK SC"/>
        <family val="2"/>
      </rPr>
      <t xml:space="preserve">代表處理速度快於影片播放時間（符合「在影片長度時間內」目標）</t>
    </r>
  </si>
  <si>
    <r>
      <rPr>
        <b val="true"/>
        <sz val="11"/>
        <color rgb="FFFFFFFF"/>
        <rFont val="Arial"/>
        <family val="0"/>
        <charset val="1"/>
      </rPr>
      <t xml:space="preserve">01.mkv </t>
    </r>
    <r>
      <rPr>
        <b val="true"/>
        <sz val="11"/>
        <color rgb="FFFFFFFF"/>
        <rFont val="Noto Sans CJK SC"/>
        <family val="2"/>
      </rPr>
      <t xml:space="preserve">命中率</t>
    </r>
  </si>
  <si>
    <r>
      <rPr>
        <b val="true"/>
        <sz val="11"/>
        <color rgb="FFFFFFFF"/>
        <rFont val="Arial"/>
        <family val="0"/>
        <charset val="1"/>
      </rPr>
      <t xml:space="preserve">02.mp4 </t>
    </r>
    <r>
      <rPr>
        <b val="true"/>
        <sz val="11"/>
        <color rgb="FFFFFFFF"/>
        <rFont val="Noto Sans CJK SC"/>
        <family val="2"/>
      </rPr>
      <t xml:space="preserve">命中率</t>
    </r>
  </si>
  <si>
    <r>
      <rPr>
        <b val="true"/>
        <sz val="11"/>
        <color rgb="FFFFFFFF"/>
        <rFont val="Noto Sans CJK SC"/>
        <family val="2"/>
      </rPr>
      <t xml:space="preserve">加權平均命中率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本次</t>
    </r>
    <r>
      <rPr>
        <b val="true"/>
        <sz val="11"/>
        <color rgb="FFFFFFFF"/>
        <rFont val="Arial"/>
        <family val="0"/>
        <charset val="1"/>
      </rPr>
      <t xml:space="preserve">2</t>
    </r>
    <r>
      <rPr>
        <b val="true"/>
        <sz val="11"/>
        <color rgb="FFFFFFFF"/>
        <rFont val="Noto Sans CJK SC"/>
        <family val="2"/>
      </rPr>
      <t xml:space="preserve">支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</si>
  <si>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歷史</t>
    </r>
    <r>
      <rPr>
        <b val="true"/>
        <sz val="11"/>
        <color rgb="FFFFFFFF"/>
        <rFont val="Arial"/>
        <family val="0"/>
        <charset val="1"/>
      </rPr>
      <t xml:space="preserve">10</t>
    </r>
    <r>
      <rPr>
        <b val="true"/>
        <sz val="11"/>
        <color rgb="FFFFFFFF"/>
        <rFont val="Noto Sans CJK SC"/>
        <family val="2"/>
      </rPr>
      <t xml:space="preserve">支影片加權命中率</t>
    </r>
  </si>
  <si>
    <r>
      <rPr>
        <b val="true"/>
        <sz val="11"/>
        <color rgb="FFFFFFFF"/>
        <rFont val="Arial"/>
        <family val="0"/>
        <charset val="1"/>
      </rPr>
      <t xml:space="preserve">01.mkv </t>
    </r>
    <r>
      <rPr>
        <b val="true"/>
        <sz val="11"/>
        <color rgb="FFFFFFFF"/>
        <rFont val="Noto Sans CJK SC"/>
        <family val="2"/>
      </rPr>
      <t xml:space="preserve">時間預算比</t>
    </r>
  </si>
  <si>
    <r>
      <rPr>
        <b val="true"/>
        <sz val="11"/>
        <color rgb="FFFFFFFF"/>
        <rFont val="Arial"/>
        <family val="0"/>
        <charset val="1"/>
      </rPr>
      <t xml:space="preserve">02.mp4 </t>
    </r>
    <r>
      <rPr>
        <b val="true"/>
        <sz val="11"/>
        <color rgb="FFFFFFFF"/>
        <rFont val="Noto Sans CJK SC"/>
        <family val="2"/>
      </rPr>
      <t xml:space="preserve">時間預算比</t>
    </r>
  </si>
  <si>
    <t xml:space="preserve">平均時間預算比</t>
  </si>
  <si>
    <r>
      <rPr>
        <b val="true"/>
        <sz val="11"/>
        <color rgb="FFFFFFFF"/>
        <rFont val="Noto Sans CJK SC"/>
        <family val="2"/>
      </rPr>
      <t xml:space="preserve">效率分數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命中率</t>
    </r>
    <r>
      <rPr>
        <b val="true"/>
        <sz val="11"/>
        <color rgb="FFFFFFFF"/>
        <rFont val="Arial"/>
        <family val="0"/>
        <charset val="1"/>
      </rPr>
      <t xml:space="preserve">÷</t>
    </r>
    <r>
      <rPr>
        <b val="true"/>
        <sz val="11"/>
        <color rgb="FFFFFFFF"/>
        <rFont val="Noto Sans CJK SC"/>
        <family val="2"/>
      </rPr>
      <t xml:space="preserve">時間預算比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</si>
  <si>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N/A</t>
    </r>
    <r>
      <rPr>
        <sz val="10"/>
        <rFont val="Noto Sans CJK SC"/>
        <family val="2"/>
      </rPr>
      <t xml:space="preserve">（見</t>
    </r>
    <r>
      <rPr>
        <sz val="10"/>
        <rFont val="Arial"/>
        <family val="0"/>
        <charset val="1"/>
      </rPr>
      <t xml:space="preserve">Sheet3</t>
    </r>
    <r>
      <rPr>
        <sz val="10"/>
        <rFont val="Noto Sans CJK SC"/>
        <family val="2"/>
      </rPr>
      <t xml:space="preserve">）</t>
    </r>
  </si>
  <si>
    <t xml:space="preserve">Channel2</t>
  </si>
  <si>
    <r>
      <rPr>
        <i val="true"/>
        <sz val="10"/>
        <color rgb="FFC00000"/>
        <rFont val="Noto Sans CJK SC"/>
        <family val="2"/>
      </rPr>
      <t xml:space="preserve">兩支影片皆執行失敗（</t>
    </r>
    <r>
      <rPr>
        <i val="true"/>
        <sz val="10"/>
        <color rgb="FFC00000"/>
        <rFont val="Arial"/>
        <family val="0"/>
        <charset val="1"/>
      </rPr>
      <t xml:space="preserve">Ollama ReadTimeout </t>
    </r>
    <r>
      <rPr>
        <i val="true"/>
        <sz val="10"/>
        <color rgb="FFC00000"/>
        <rFont val="Noto Sans CJK SC"/>
        <family val="2"/>
      </rPr>
      <t xml:space="preserve">崩潰，</t>
    </r>
    <r>
      <rPr>
        <i val="true"/>
        <sz val="10"/>
        <color rgb="FFC00000"/>
        <rFont val="Arial"/>
        <family val="0"/>
        <charset val="1"/>
      </rPr>
      <t xml:space="preserve">0 </t>
    </r>
    <r>
      <rPr>
        <i val="true"/>
        <sz val="10"/>
        <color rgb="FFC00000"/>
        <rFont val="Noto Sans CJK SC"/>
        <family val="2"/>
      </rPr>
      <t xml:space="preserve">筆輸出），無命中率</t>
    </r>
    <r>
      <rPr>
        <i val="true"/>
        <sz val="10"/>
        <color rgb="FFC00000"/>
        <rFont val="Arial"/>
        <family val="0"/>
        <charset val="1"/>
      </rPr>
      <t xml:space="preserve">/</t>
    </r>
    <r>
      <rPr>
        <i val="true"/>
        <sz val="10"/>
        <color rgb="FFC00000"/>
        <rFont val="Noto Sans CJK SC"/>
        <family val="2"/>
      </rPr>
      <t xml:space="preserve">時間預算比可比較，詳見「</t>
    </r>
    <r>
      <rPr>
        <i val="true"/>
        <sz val="10"/>
        <color rgb="FFC00000"/>
        <rFont val="Arial"/>
        <family val="0"/>
        <charset val="1"/>
      </rPr>
      <t xml:space="preserve">Channel2</t>
    </r>
    <r>
      <rPr>
        <i val="true"/>
        <sz val="10"/>
        <color rgb="FFC00000"/>
        <rFont val="Noto Sans CJK SC"/>
        <family val="2"/>
      </rPr>
      <t xml:space="preserve">與</t>
    </r>
    <r>
      <rPr>
        <i val="true"/>
        <sz val="10"/>
        <color rgb="FFC00000"/>
        <rFont val="Arial"/>
        <family val="0"/>
        <charset val="1"/>
      </rPr>
      <t xml:space="preserve">Channel3</t>
    </r>
    <r>
      <rPr>
        <i val="true"/>
        <sz val="10"/>
        <color rgb="FFC00000"/>
        <rFont val="Noto Sans CJK SC"/>
        <family val="2"/>
      </rPr>
      <t xml:space="preserve">成本效益」分頁</t>
    </r>
  </si>
  <si>
    <r>
      <rPr>
        <b val="true"/>
        <sz val="14"/>
        <rFont val="Arial"/>
        <family val="0"/>
        <charset val="1"/>
      </rPr>
      <t xml:space="preserve">Channel 2</t>
    </r>
    <r>
      <rPr>
        <b val="true"/>
        <sz val="14"/>
        <rFont val="Noto Sans CJK SC"/>
        <family val="2"/>
      </rPr>
      <t xml:space="preserve">（純 </t>
    </r>
    <r>
      <rPr>
        <b val="true"/>
        <sz val="14"/>
        <rFont val="Arial"/>
        <family val="0"/>
        <charset val="1"/>
      </rPr>
      <t xml:space="preserve">LLM</t>
    </r>
    <r>
      <rPr>
        <b val="true"/>
        <sz val="14"/>
        <rFont val="Noto Sans CJK SC"/>
        <family val="2"/>
      </rPr>
      <t xml:space="preserve">）與 </t>
    </r>
    <r>
      <rPr>
        <b val="true"/>
        <sz val="14"/>
        <rFont val="Arial"/>
        <family val="0"/>
        <charset val="1"/>
      </rPr>
      <t xml:space="preserve">Channel 3</t>
    </r>
    <r>
      <rPr>
        <b val="true"/>
        <sz val="14"/>
        <rFont val="Noto Sans CJK SC"/>
        <family val="2"/>
      </rPr>
      <t xml:space="preserve">（字典＋</t>
    </r>
    <r>
      <rPr>
        <b val="true"/>
        <sz val="14"/>
        <rFont val="Arial"/>
        <family val="0"/>
        <charset val="1"/>
      </rPr>
      <t xml:space="preserve">LLM fallback</t>
    </r>
    <r>
      <rPr>
        <b val="true"/>
        <sz val="14"/>
        <rFont val="Noto Sans CJK SC"/>
        <family val="2"/>
      </rPr>
      <t xml:space="preserve">）成本效益細節</t>
    </r>
  </si>
  <si>
    <r>
      <rPr>
        <b val="true"/>
        <sz val="10"/>
        <rFont val="Noto Sans CJK SC"/>
        <family val="2"/>
      </rPr>
      <t xml:space="preserve">一、</t>
    </r>
    <r>
      <rPr>
        <b val="true"/>
        <sz val="10"/>
        <rFont val="Arial"/>
        <family val="0"/>
        <charset val="1"/>
      </rPr>
      <t xml:space="preserve">Channel 2 </t>
    </r>
    <r>
      <rPr>
        <b val="true"/>
        <sz val="10"/>
        <rFont val="Noto Sans CJK SC"/>
        <family val="2"/>
      </rPr>
      <t xml:space="preserve">可靠度（本次真實測試）</t>
    </r>
  </si>
  <si>
    <r>
      <rPr>
        <b val="true"/>
        <sz val="11"/>
        <color rgb="FFFFFFFF"/>
        <rFont val="Noto Sans CJK SC"/>
        <family val="2"/>
      </rPr>
      <t xml:space="preserve">崩潰前已耗時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秒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</si>
  <si>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耗時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影片時長</t>
    </r>
  </si>
  <si>
    <t xml:space="preserve">狀態</t>
  </si>
  <si>
    <t xml:space="preserve">錯誤訊息</t>
  </si>
  <si>
    <r>
      <rPr>
        <sz val="10"/>
        <rFont val="Noto Sans CJK SC"/>
        <family val="2"/>
      </rPr>
      <t xml:space="preserve">失敗（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筆輸出）</t>
    </r>
  </si>
  <si>
    <t xml:space="preserve">ReadTimeout: HTTPConnectionPool(host='localhost', port=11434): Read timed out. (read timeout=60.0)</t>
  </si>
  <si>
    <r>
      <rPr>
        <i val="true"/>
        <sz val="9"/>
        <color rgb="FF777777"/>
        <rFont val="Noto Sans CJK SC"/>
        <family val="2"/>
      </rPr>
      <t xml:space="preserve">根本原因（見 </t>
    </r>
    <r>
      <rPr>
        <i val="true"/>
        <sz val="9"/>
        <color rgb="FF777777"/>
        <rFont val="Arial"/>
        <family val="0"/>
        <charset val="1"/>
      </rPr>
      <t xml:space="preserve">PROJECT_NOTES.md </t>
    </r>
    <r>
      <rPr>
        <i val="true"/>
        <sz val="9"/>
        <color rgb="FF777777"/>
        <rFont val="Noto Sans CJK SC"/>
        <family val="2"/>
      </rPr>
      <t xml:space="preserve">第 </t>
    </r>
    <r>
      <rPr>
        <i val="true"/>
        <sz val="9"/>
        <color rgb="FF777777"/>
        <rFont val="Arial"/>
        <family val="0"/>
        <charset val="1"/>
      </rPr>
      <t xml:space="preserve">18 </t>
    </r>
    <r>
      <rPr>
        <i val="true"/>
        <sz val="9"/>
        <color rgb="FF777777"/>
        <rFont val="Noto Sans CJK SC"/>
        <family val="2"/>
      </rPr>
      <t xml:space="preserve">節脈絡與 </t>
    </r>
    <r>
      <rPr>
        <i val="true"/>
        <sz val="9"/>
        <color rgb="FF777777"/>
        <rFont val="Arial"/>
        <family val="0"/>
        <charset val="1"/>
      </rPr>
      <t xml:space="preserve">scripts/run_channel2.py</t>
    </r>
    <r>
      <rPr>
        <i val="true"/>
        <sz val="9"/>
        <color rgb="FF777777"/>
        <rFont val="Noto Sans CJK SC"/>
        <family val="2"/>
      </rPr>
      <t xml:space="preserve">）：</t>
    </r>
    <r>
      <rPr>
        <i val="true"/>
        <sz val="9"/>
        <color rgb="FF777777"/>
        <rFont val="Arial"/>
        <family val="0"/>
        <charset val="1"/>
      </rPr>
      <t xml:space="preserve">OllamaClient.generate() </t>
    </r>
    <r>
      <rPr>
        <i val="true"/>
        <sz val="9"/>
        <color rgb="FF777777"/>
        <rFont val="Noto Sans CJK SC"/>
        <family val="2"/>
      </rPr>
      <t xml:space="preserve">的 </t>
    </r>
    <r>
      <rPr>
        <i val="true"/>
        <sz val="9"/>
        <color rgb="FF777777"/>
        <rFont val="Arial"/>
        <family val="0"/>
        <charset val="1"/>
      </rPr>
      <t xml:space="preserve">60 </t>
    </r>
    <r>
      <rPr>
        <i val="true"/>
        <sz val="9"/>
        <color rgb="FF777777"/>
        <rFont val="Noto Sans CJK SC"/>
        <family val="2"/>
      </rPr>
      <t xml:space="preserve">秒逾時屬於 </t>
    </r>
    <r>
      <rPr>
        <i val="true"/>
        <sz val="9"/>
        <color rgb="FF777777"/>
        <rFont val="Arial"/>
        <family val="0"/>
        <charset val="1"/>
      </rPr>
      <t xml:space="preserve">requests.exceptions.RequestException</t>
    </r>
    <r>
      <rPr>
        <i val="true"/>
        <sz val="9"/>
        <color rgb="FF777777"/>
        <rFont val="Noto Sans CJK SC"/>
        <family val="2"/>
      </rPr>
      <t xml:space="preserve">，</t>
    </r>
    <r>
      <rPr>
        <i val="true"/>
        <sz val="9"/>
        <color rgb="FF777777"/>
        <rFont val="Arial"/>
        <family val="0"/>
        <charset val="1"/>
      </rPr>
      <t xml:space="preserve">run_channel2.py </t>
    </r>
    <r>
      <rPr>
        <i val="true"/>
        <sz val="9"/>
        <color rgb="FF777777"/>
        <rFont val="Noto Sans CJK SC"/>
        <family val="2"/>
      </rPr>
      <t xml:space="preserve">未攔截此例外，導致單一句字幕逾時就讓整個 </t>
    </r>
    <r>
      <rPr>
        <i val="true"/>
        <sz val="9"/>
        <color rgb="FF777777"/>
        <rFont val="Arial"/>
        <family val="0"/>
        <charset val="1"/>
      </rPr>
      <t xml:space="preserve">Channel 2</t>
    </r>
    <r>
      <rPr>
        <i val="true"/>
        <sz val="9"/>
        <color rgb="FF777777"/>
        <rFont val="Noto Sans CJK SC"/>
        <family val="2"/>
      </rPr>
      <t xml:space="preserve">階段直接崩潰，而非跳過該句繼續處理。</t>
    </r>
    <r>
      <rPr>
        <i val="true"/>
        <sz val="9"/>
        <color rgb="FF777777"/>
        <rFont val="Arial"/>
        <family val="0"/>
        <charset val="1"/>
      </rPr>
      <t xml:space="preserve">02.mp4 </t>
    </r>
    <r>
      <rPr>
        <i val="true"/>
        <sz val="9"/>
        <color rgb="FF777777"/>
        <rFont val="Noto Sans CJK SC"/>
        <family val="2"/>
      </rPr>
      <t xml:space="preserve">崩潰前已耗時 </t>
    </r>
    <r>
      <rPr>
        <i val="true"/>
        <sz val="9"/>
        <color rgb="FF777777"/>
        <rFont val="Arial"/>
        <family val="0"/>
        <charset val="1"/>
      </rPr>
      <t xml:space="preserve">1387.09 </t>
    </r>
    <r>
      <rPr>
        <i val="true"/>
        <sz val="9"/>
        <color rgb="FF777777"/>
        <rFont val="Noto Sans CJK SC"/>
        <family val="2"/>
      </rPr>
      <t xml:space="preserve">秒，已超過影片本身 </t>
    </r>
    <r>
      <rPr>
        <i val="true"/>
        <sz val="9"/>
        <color rgb="FF777777"/>
        <rFont val="Arial"/>
        <family val="0"/>
        <charset val="1"/>
      </rPr>
      <t xml:space="preserve">1122.98 </t>
    </r>
    <r>
      <rPr>
        <i val="true"/>
        <sz val="9"/>
        <color rgb="FF777777"/>
        <rFont val="Noto Sans CJK SC"/>
        <family val="2"/>
      </rPr>
      <t xml:space="preserve">秒的長度——同時違反「時間預算內」與「產出可用結果」兩項標準。屬於可修復的工程問題（加長 </t>
    </r>
    <r>
      <rPr>
        <i val="true"/>
        <sz val="9"/>
        <color rgb="FF777777"/>
        <rFont val="Arial"/>
        <family val="0"/>
        <charset val="1"/>
      </rPr>
      <t xml:space="preserve">timeout + </t>
    </r>
    <r>
      <rPr>
        <i val="true"/>
        <sz val="9"/>
        <color rgb="FF777777"/>
        <rFont val="Noto Sans CJK SC"/>
        <family val="2"/>
      </rPr>
      <t xml:space="preserve">補上例外處理改為跳過該句），但以目前實測結果而言不符合最終版可靠度門檻。</t>
    </r>
  </si>
  <si>
    <r>
      <rPr>
        <b val="true"/>
        <sz val="10"/>
        <rFont val="Noto Sans CJK SC"/>
        <family val="2"/>
      </rPr>
      <t xml:space="preserve">歷史對照（</t>
    </r>
    <r>
      <rPr>
        <b val="true"/>
        <sz val="10"/>
        <rFont val="Arial"/>
        <family val="0"/>
        <charset val="1"/>
      </rPr>
      <t xml:space="preserve">001.mkv</t>
    </r>
    <r>
      <rPr>
        <b val="true"/>
        <sz val="10"/>
        <rFont val="Noto Sans CJK SC"/>
        <family val="2"/>
      </rPr>
      <t xml:space="preserve">，單支影片，</t>
    </r>
    <r>
      <rPr>
        <b val="true"/>
        <sz val="10"/>
        <rFont val="Arial"/>
        <family val="0"/>
        <charset val="1"/>
      </rPr>
      <t xml:space="preserve">2026-07-26</t>
    </r>
    <r>
      <rPr>
        <b val="true"/>
        <sz val="10"/>
        <rFont val="Noto Sans CJK SC"/>
        <family val="2"/>
      </rPr>
      <t xml:space="preserve">，非本次測試）：</t>
    </r>
  </si>
  <si>
    <r>
      <rPr>
        <i val="true"/>
        <sz val="9"/>
        <color rgb="FF777777"/>
        <rFont val="Noto Sans CJK SC"/>
        <family val="2"/>
      </rPr>
      <t xml:space="preserve">總耗時 </t>
    </r>
    <r>
      <rPr>
        <i val="true"/>
        <sz val="9"/>
        <color rgb="FF777777"/>
        <rFont val="Arial"/>
        <family val="0"/>
        <charset val="1"/>
      </rPr>
      <t xml:space="preserve">3591.24 </t>
    </r>
    <r>
      <rPr>
        <i val="true"/>
        <sz val="9"/>
        <color rgb="FF777777"/>
        <rFont val="Noto Sans CJK SC"/>
        <family val="2"/>
      </rPr>
      <t xml:space="preserve">秒、</t>
    </r>
    <r>
      <rPr>
        <i val="true"/>
        <sz val="9"/>
        <color rgb="FF777777"/>
        <rFont val="Arial"/>
        <family val="0"/>
        <charset val="1"/>
      </rPr>
      <t xml:space="preserve">2008 </t>
    </r>
    <r>
      <rPr>
        <i val="true"/>
        <sz val="9"/>
        <color rgb="FF777777"/>
        <rFont val="Noto Sans CJK SC"/>
        <family val="2"/>
      </rPr>
      <t xml:space="preserve">次呼叫（</t>
    </r>
    <r>
      <rPr>
        <i val="true"/>
        <sz val="9"/>
        <color rgb="FF777777"/>
        <rFont val="Arial"/>
        <family val="0"/>
        <charset val="1"/>
      </rPr>
      <t xml:space="preserve">2001 </t>
    </r>
    <r>
      <rPr>
        <i val="true"/>
        <sz val="9"/>
        <color rgb="FF777777"/>
        <rFont val="Noto Sans CJK SC"/>
        <family val="2"/>
      </rPr>
      <t xml:space="preserve">成功解析／</t>
    </r>
    <r>
      <rPr>
        <i val="true"/>
        <sz val="9"/>
        <color rgb="FF777777"/>
        <rFont val="Arial"/>
        <family val="0"/>
        <charset val="1"/>
      </rPr>
      <t xml:space="preserve">7 </t>
    </r>
    <r>
      <rPr>
        <i val="true"/>
        <sz val="9"/>
        <color rgb="FF777777"/>
        <rFont val="Noto Sans CJK SC"/>
        <family val="2"/>
      </rPr>
      <t xml:space="preserve">次解析失敗）、</t>
    </r>
    <r>
      <rPr>
        <i val="true"/>
        <sz val="9"/>
        <color rgb="FF777777"/>
        <rFont val="Arial"/>
        <family val="0"/>
        <charset val="1"/>
      </rPr>
      <t xml:space="preserve">4401 </t>
    </r>
    <r>
      <rPr>
        <i val="true"/>
        <sz val="9"/>
        <color rgb="FF777777"/>
        <rFont val="Noto Sans CJK SC"/>
        <family val="2"/>
      </rPr>
      <t xml:space="preserve">個詞彙中 </t>
    </r>
    <r>
      <rPr>
        <i val="true"/>
        <sz val="9"/>
        <color rgb="FF777777"/>
        <rFont val="Arial"/>
        <family val="0"/>
        <charset val="1"/>
      </rPr>
      <t xml:space="preserve">3011 </t>
    </r>
    <r>
      <rPr>
        <i val="true"/>
        <sz val="9"/>
        <color rgb="FF777777"/>
        <rFont val="Noto Sans CJK SC"/>
        <family val="2"/>
      </rPr>
      <t xml:space="preserve">個有翻譯（</t>
    </r>
    <r>
      <rPr>
        <i val="true"/>
        <sz val="9"/>
        <color rgb="FF777777"/>
        <rFont val="Arial"/>
        <family val="0"/>
        <charset val="1"/>
      </rPr>
      <t xml:space="preserve">68.4%</t>
    </r>
    <r>
      <rPr>
        <i val="true"/>
        <sz val="9"/>
        <color rgb="FF777777"/>
        <rFont val="Noto Sans CJK SC"/>
        <family val="2"/>
      </rPr>
      <t xml:space="preserve">）。來源：</t>
    </r>
    <r>
      <rPr>
        <i val="true"/>
        <sz val="9"/>
        <color rgb="FF777777"/>
        <rFont val="Arial"/>
        <family val="0"/>
        <charset val="1"/>
      </rPr>
      <t xml:space="preserve">PROJECT_NOTES.md §13.10</t>
    </r>
    <r>
      <rPr>
        <i val="true"/>
        <sz val="9"/>
        <color rgb="FF777777"/>
        <rFont val="Noto Sans CJK SC"/>
        <family val="2"/>
      </rPr>
      <t xml:space="preserve">。當時未遇到本次的逾時崩潰問題，顯示問題可能與影片長度</t>
    </r>
    <r>
      <rPr>
        <i val="true"/>
        <sz val="9"/>
        <color rgb="FF777777"/>
        <rFont val="Arial"/>
        <family val="0"/>
        <charset val="1"/>
      </rPr>
      <t xml:space="preserve">/</t>
    </r>
    <r>
      <rPr>
        <i val="true"/>
        <sz val="9"/>
        <color rgb="FF777777"/>
        <rFont val="Noto Sans CJK SC"/>
        <family val="2"/>
      </rPr>
      <t xml:space="preserve">字幕數量增加後累積的呼叫次數與伺服器負載有關。</t>
    </r>
  </si>
  <si>
    <r>
      <rPr>
        <b val="true"/>
        <sz val="10"/>
        <rFont val="Noto Sans CJK SC"/>
        <family val="2"/>
      </rPr>
      <t xml:space="preserve">二、</t>
    </r>
    <r>
      <rPr>
        <b val="true"/>
        <sz val="10"/>
        <rFont val="Arial"/>
        <family val="0"/>
        <charset val="1"/>
      </rPr>
      <t xml:space="preserve">Channel 3 LLM fallback </t>
    </r>
    <r>
      <rPr>
        <b val="true"/>
        <sz val="10"/>
        <rFont val="Noto Sans CJK SC"/>
        <family val="2"/>
      </rPr>
      <t xml:space="preserve">成本效益（本次真實測試）</t>
    </r>
  </si>
  <si>
    <r>
      <rPr>
        <b val="true"/>
        <sz val="11"/>
        <color rgb="FFFFFFFF"/>
        <rFont val="Arial"/>
        <family val="0"/>
        <charset val="1"/>
      </rPr>
      <t xml:space="preserve">fallback</t>
    </r>
    <r>
      <rPr>
        <b val="true"/>
        <sz val="11"/>
        <color rgb="FFFFFFFF"/>
        <rFont val="Noto Sans CJK SC"/>
        <family val="2"/>
      </rPr>
      <t xml:space="preserve">呼叫次數</t>
    </r>
  </si>
  <si>
    <t xml:space="preserve">成功次數</t>
  </si>
  <si>
    <t xml:space="preserve">成功率</t>
  </si>
  <si>
    <r>
      <rPr>
        <b val="true"/>
        <sz val="11"/>
        <color rgb="FFFFFFFF"/>
        <rFont val="Arial"/>
        <family val="0"/>
        <charset val="1"/>
      </rPr>
      <t xml:space="preserve">fallback</t>
    </r>
    <r>
      <rPr>
        <b val="true"/>
        <sz val="11"/>
        <color rgb="FFFFFFFF"/>
        <rFont val="Noto Sans CJK SC"/>
        <family val="2"/>
      </rPr>
      <t xml:space="preserve">耗時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秒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</si>
  <si>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Channel3</t>
    </r>
    <r>
      <rPr>
        <b val="true"/>
        <sz val="11"/>
        <color rgb="FFFFFFFF"/>
        <rFont val="Noto Sans CJK SC"/>
        <family val="2"/>
      </rPr>
      <t xml:space="preserve">總耗時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秒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</si>
  <si>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fallback</t>
    </r>
    <r>
      <rPr>
        <b val="true"/>
        <sz val="11"/>
        <color rgb="FFFFFFFF"/>
        <rFont val="Noto Sans CJK SC"/>
        <family val="2"/>
      </rPr>
      <t xml:space="preserve">佔比</t>
    </r>
  </si>
  <si>
    <r>
      <rPr>
        <b val="true"/>
        <sz val="11"/>
        <color rgb="FFFFFFFF"/>
        <rFont val="Arial"/>
        <family val="0"/>
        <charset val="1"/>
      </rPr>
      <t xml:space="preserve">Channel3</t>
    </r>
    <r>
      <rPr>
        <b val="true"/>
        <sz val="11"/>
        <color rgb="FFFFFFFF"/>
        <rFont val="Noto Sans CJK SC"/>
        <family val="2"/>
      </rPr>
      <t xml:space="preserve">命中率</t>
    </r>
  </si>
  <si>
    <r>
      <rPr>
        <b val="true"/>
        <sz val="11"/>
        <color rgb="FFFFFFFF"/>
        <rFont val="Arial"/>
        <family val="0"/>
        <charset val="1"/>
      </rPr>
      <t xml:space="preserve">Channel1-Mecab</t>
    </r>
    <r>
      <rPr>
        <b val="true"/>
        <sz val="11"/>
        <color rgb="FFFFFFFF"/>
        <rFont val="Noto Sans CJK SC"/>
        <family val="2"/>
      </rPr>
      <t xml:space="preserve">命中率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基準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</si>
  <si>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淨貢獻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命中率差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</si>
  <si>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Channel1-Komoran</t>
    </r>
    <r>
      <rPr>
        <b val="true"/>
        <sz val="11"/>
        <color rgb="FFFFFFFF"/>
        <rFont val="Noto Sans CJK SC"/>
        <family val="2"/>
      </rPr>
      <t xml:space="preserve">命中率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比較對象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</si>
  <si>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i val="true"/>
        <sz val="9"/>
        <color rgb="FF777777"/>
        <rFont val="Noto Sans CJK SC"/>
        <family val="2"/>
      </rPr>
      <t xml:space="preserve">歷史對照（</t>
    </r>
    <r>
      <rPr>
        <i val="true"/>
        <sz val="9"/>
        <color rgb="FF777777"/>
        <rFont val="Arial"/>
        <family val="0"/>
        <charset val="1"/>
      </rPr>
      <t xml:space="preserve">10</t>
    </r>
    <r>
      <rPr>
        <i val="true"/>
        <sz val="9"/>
        <color rgb="FF777777"/>
        <rFont val="Noto Sans CJK SC"/>
        <family val="2"/>
      </rPr>
      <t xml:space="preserve">支真實影片，</t>
    </r>
    <r>
      <rPr>
        <i val="true"/>
        <sz val="9"/>
        <color rgb="FF777777"/>
        <rFont val="Arial"/>
        <family val="0"/>
        <charset val="1"/>
      </rPr>
      <t xml:space="preserve">2026-07-26</t>
    </r>
    <r>
      <rPr>
        <i val="true"/>
        <sz val="9"/>
        <color rgb="FF777777"/>
        <rFont val="Noto Sans CJK SC"/>
        <family val="2"/>
      </rPr>
      <t xml:space="preserve">，非本次測試，來源：</t>
    </r>
    <r>
      <rPr>
        <i val="true"/>
        <sz val="9"/>
        <color rgb="FF777777"/>
        <rFont val="Arial"/>
        <family val="0"/>
        <charset val="1"/>
      </rPr>
      <t xml:space="preserve">PROJECT_NOTES.md §13.12</t>
    </r>
    <r>
      <rPr>
        <i val="true"/>
        <sz val="9"/>
        <color rgb="FF777777"/>
        <rFont val="Noto Sans CJK SC"/>
        <family val="2"/>
      </rPr>
      <t xml:space="preserve">）：加總 </t>
    </r>
    <r>
      <rPr>
        <i val="true"/>
        <sz val="9"/>
        <color rgb="FF777777"/>
        <rFont val="Arial"/>
        <family val="0"/>
        <charset val="1"/>
      </rPr>
      <t xml:space="preserve">2930 </t>
    </r>
    <r>
      <rPr>
        <i val="true"/>
        <sz val="9"/>
        <color rgb="FF777777"/>
        <rFont val="Noto Sans CJK SC"/>
        <family val="2"/>
      </rPr>
      <t xml:space="preserve">次 </t>
    </r>
    <r>
      <rPr>
        <i val="true"/>
        <sz val="9"/>
        <color rgb="FF777777"/>
        <rFont val="Arial"/>
        <family val="0"/>
        <charset val="1"/>
      </rPr>
      <t xml:space="preserve">fallback </t>
    </r>
    <r>
      <rPr>
        <i val="true"/>
        <sz val="9"/>
        <color rgb="FF777777"/>
        <rFont val="Noto Sans CJK SC"/>
        <family val="2"/>
      </rPr>
      <t xml:space="preserve">呼叫僅 </t>
    </r>
    <r>
      <rPr>
        <i val="true"/>
        <sz val="9"/>
        <color rgb="FF777777"/>
        <rFont val="Arial"/>
        <family val="0"/>
        <charset val="1"/>
      </rPr>
      <t xml:space="preserve">50 </t>
    </r>
    <r>
      <rPr>
        <i val="true"/>
        <sz val="9"/>
        <color rgb="FF777777"/>
        <rFont val="Noto Sans CJK SC"/>
        <family val="2"/>
      </rPr>
      <t xml:space="preserve">次成功（</t>
    </r>
    <r>
      <rPr>
        <i val="true"/>
        <sz val="9"/>
        <color rgb="FF777777"/>
        <rFont val="Arial"/>
        <family val="0"/>
        <charset val="1"/>
      </rPr>
      <t xml:space="preserve">1.7%</t>
    </r>
    <r>
      <rPr>
        <i val="true"/>
        <sz val="9"/>
        <color rgb="FF777777"/>
        <rFont val="Noto Sans CJK SC"/>
        <family val="2"/>
      </rPr>
      <t xml:space="preserve">），多花約 </t>
    </r>
    <r>
      <rPr>
        <i val="true"/>
        <sz val="9"/>
        <color rgb="FF777777"/>
        <rFont val="Arial"/>
        <family val="0"/>
        <charset val="1"/>
      </rPr>
      <t xml:space="preserve">912 </t>
    </r>
    <r>
      <rPr>
        <i val="true"/>
        <sz val="9"/>
        <color rgb="FF777777"/>
        <rFont val="Noto Sans CJK SC"/>
        <family val="2"/>
      </rPr>
      <t xml:space="preserve">秒。與本次</t>
    </r>
    <r>
      <rPr>
        <i val="true"/>
        <sz val="9"/>
        <color rgb="FF777777"/>
        <rFont val="Arial"/>
        <family val="0"/>
        <charset val="1"/>
      </rPr>
      <t xml:space="preserve">2</t>
    </r>
    <r>
      <rPr>
        <i val="true"/>
        <sz val="9"/>
        <color rgb="FF777777"/>
        <rFont val="Noto Sans CJK SC"/>
        <family val="2"/>
      </rPr>
      <t xml:space="preserve">支影片（</t>
    </r>
    <r>
      <rPr>
        <i val="true"/>
        <sz val="9"/>
        <color rgb="FF777777"/>
        <rFont val="Arial"/>
        <family val="0"/>
        <charset val="1"/>
      </rPr>
      <t xml:space="preserve">1.64%</t>
    </r>
    <r>
      <rPr>
        <i val="true"/>
        <sz val="9"/>
        <color rgb="FF777777"/>
        <rFont val="Noto Sans CJK SC"/>
        <family val="2"/>
      </rPr>
      <t xml:space="preserve">、</t>
    </r>
    <r>
      <rPr>
        <i val="true"/>
        <sz val="9"/>
        <color rgb="FF777777"/>
        <rFont val="Arial"/>
        <family val="0"/>
        <charset val="1"/>
      </rPr>
      <t xml:space="preserve">2.58%</t>
    </r>
    <r>
      <rPr>
        <i val="true"/>
        <sz val="9"/>
        <color rgb="FF777777"/>
        <rFont val="Noto Sans CJK SC"/>
        <family val="2"/>
      </rPr>
      <t xml:space="preserve">）方向一致：</t>
    </r>
    <r>
      <rPr>
        <i val="true"/>
        <sz val="9"/>
        <color rgb="FF777777"/>
        <rFont val="Arial"/>
        <family val="0"/>
        <charset val="1"/>
      </rPr>
      <t xml:space="preserve">fallback </t>
    </r>
    <r>
      <rPr>
        <i val="true"/>
        <sz val="9"/>
        <color rgb="FF777777"/>
        <rFont val="Noto Sans CJK SC"/>
        <family val="2"/>
      </rPr>
      <t xml:space="preserve">成功率始終偏低。</t>
    </r>
  </si>
  <si>
    <r>
      <rPr>
        <b val="true"/>
        <sz val="14"/>
        <rFont val="Arial"/>
        <family val="0"/>
        <charset val="1"/>
      </rPr>
      <t xml:space="preserve">Denoise</t>
    </r>
    <r>
      <rPr>
        <b val="true"/>
        <sz val="14"/>
        <rFont val="Noto Sans CJK SC"/>
        <family val="2"/>
      </rPr>
      <t xml:space="preserve">（去雜訊）開關最終評估</t>
    </r>
  </si>
  <si>
    <r>
      <rPr>
        <i val="true"/>
        <sz val="10"/>
        <color rgb="FF555555"/>
        <rFont val="Noto Sans CJK SC"/>
        <family val="2"/>
      </rPr>
      <t xml:space="preserve">決策規則（使用者於 </t>
    </r>
    <r>
      <rPr>
        <i val="true"/>
        <sz val="10"/>
        <color rgb="FF555555"/>
        <rFont val="Arial"/>
        <family val="0"/>
        <charset val="1"/>
      </rPr>
      <t xml:space="preserve">Phase 2 </t>
    </r>
    <r>
      <rPr>
        <i val="true"/>
        <sz val="10"/>
        <color rgb="FF555555"/>
        <rFont val="Noto Sans CJK SC"/>
        <family val="2"/>
      </rPr>
      <t xml:space="preserve">訂下，見 </t>
    </r>
    <r>
      <rPr>
        <i val="true"/>
        <sz val="10"/>
        <color rgb="FF555555"/>
        <rFont val="Arial"/>
        <family val="0"/>
        <charset val="1"/>
      </rPr>
      <t xml:space="preserve">PROJECT_NOTES.md §8 </t>
    </r>
    <r>
      <rPr>
        <i val="true"/>
        <sz val="10"/>
        <color rgb="FF555555"/>
        <rFont val="Noto Sans CJK SC"/>
        <family val="2"/>
      </rPr>
      <t xml:space="preserve">第 </t>
    </r>
    <r>
      <rPr>
        <i val="true"/>
        <sz val="10"/>
        <color rgb="FF555555"/>
        <rFont val="Arial"/>
        <family val="0"/>
        <charset val="1"/>
      </rPr>
      <t xml:space="preserve">3 </t>
    </r>
    <r>
      <rPr>
        <i val="true"/>
        <sz val="10"/>
        <color rgb="FF555555"/>
        <rFont val="Noto Sans CJK SC"/>
        <family val="2"/>
      </rPr>
      <t xml:space="preserve">點）：若去雜訊對辨識率的提升低於 </t>
    </r>
    <r>
      <rPr>
        <i val="true"/>
        <sz val="10"/>
        <color rgb="FF555555"/>
        <rFont val="Arial"/>
        <family val="0"/>
        <charset val="1"/>
      </rPr>
      <t xml:space="preserve">15%</t>
    </r>
    <r>
      <rPr>
        <i val="true"/>
        <sz val="10"/>
        <color rgb="FF555555"/>
        <rFont val="Noto Sans CJK SC"/>
        <family val="2"/>
      </rPr>
      <t xml:space="preserve">，之後就預設關閉。</t>
    </r>
  </si>
  <si>
    <r>
      <rPr>
        <b val="true"/>
        <sz val="10"/>
        <rFont val="Noto Sans CJK SC"/>
        <family val="2"/>
      </rPr>
      <t xml:space="preserve">一、歷史真實測試（</t>
    </r>
    <r>
      <rPr>
        <b val="true"/>
        <sz val="10"/>
        <rFont val="Arial"/>
        <family val="0"/>
        <charset val="1"/>
      </rPr>
      <t xml:space="preserve">001.mkv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619 </t>
    </r>
    <r>
      <rPr>
        <b val="true"/>
        <sz val="10"/>
        <rFont val="Noto Sans CJK SC"/>
        <family val="2"/>
      </rPr>
      <t xml:space="preserve">影格，</t>
    </r>
    <r>
      <rPr>
        <b val="true"/>
        <sz val="10"/>
        <rFont val="Arial"/>
        <family val="0"/>
        <charset val="1"/>
      </rPr>
      <t xml:space="preserve">2026-07-25</t>
    </r>
    <r>
      <rPr>
        <b val="true"/>
        <sz val="10"/>
        <rFont val="Noto Sans CJK SC"/>
        <family val="2"/>
      </rPr>
      <t xml:space="preserve">，非本次測試，來源：</t>
    </r>
    <r>
      <rPr>
        <b val="true"/>
        <sz val="10"/>
        <rFont val="Arial"/>
        <family val="0"/>
        <charset val="1"/>
      </rPr>
      <t xml:space="preserve">PROJECT_NOTES.md §12</t>
    </r>
    <r>
      <rPr>
        <b val="true"/>
        <sz val="10"/>
        <rFont val="Noto Sans CJK SC"/>
        <family val="2"/>
      </rPr>
      <t xml:space="preserve">）</t>
    </r>
  </si>
  <si>
    <t xml:space="preserve">denoise_on</t>
  </si>
  <si>
    <t xml:space="preserve">denoise_off</t>
  </si>
  <si>
    <t xml:space="preserve">差異</t>
  </si>
  <si>
    <t xml:space="preserve">偵測數量（筆）</t>
  </si>
  <si>
    <t xml:space="preserve">平均信心分數</t>
  </si>
  <si>
    <r>
      <rPr>
        <sz val="10"/>
        <rFont val="Noto Sans CJK SC"/>
        <family val="2"/>
      </rPr>
      <t xml:space="preserve">低信心</t>
    </r>
    <r>
      <rPr>
        <sz val="10"/>
        <rFont val="Arial"/>
        <family val="0"/>
        <charset val="1"/>
      </rPr>
      <t xml:space="preserve">(&lt;0.5)</t>
    </r>
    <r>
      <rPr>
        <sz val="10"/>
        <rFont val="Noto Sans CJK SC"/>
        <family val="2"/>
      </rPr>
      <t xml:space="preserve">比例</t>
    </r>
  </si>
  <si>
    <r>
      <rPr>
        <sz val="10"/>
        <rFont val="Arial"/>
        <family val="0"/>
        <charset val="1"/>
      </rPr>
      <t xml:space="preserve">605</t>
    </r>
    <r>
      <rPr>
        <sz val="10"/>
        <rFont val="Noto Sans CJK SC"/>
        <family val="2"/>
      </rPr>
      <t xml:space="preserve">共同影格中額外偵測到文字的影格數</t>
    </r>
  </si>
  <si>
    <r>
      <rPr>
        <sz val="10"/>
        <rFont val="Arial"/>
        <family val="0"/>
        <charset val="1"/>
      </rPr>
      <t xml:space="preserve">Phase2</t>
    </r>
    <r>
      <rPr>
        <sz val="10"/>
        <rFont val="Noto Sans CJK SC"/>
        <family val="2"/>
      </rPr>
      <t xml:space="preserve">前處理耗時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秒，</t>
    </r>
    <r>
      <rPr>
        <sz val="10"/>
        <rFont val="Arial"/>
        <family val="0"/>
        <charset val="1"/>
      </rPr>
      <t xml:space="preserve">619</t>
    </r>
    <r>
      <rPr>
        <sz val="10"/>
        <rFont val="Noto Sans CJK SC"/>
        <family val="2"/>
      </rPr>
      <t xml:space="preserve">影格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</si>
  <si>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777777"/>
        <rFont val="Noto Sans CJK SC"/>
        <family val="2"/>
      </rPr>
      <t xml:space="preserve">結論（歷史數據）：品質差異僅約 </t>
    </r>
    <r>
      <rPr>
        <i val="true"/>
        <sz val="9"/>
        <color rgb="FF777777"/>
        <rFont val="Arial"/>
        <family val="0"/>
        <charset val="1"/>
      </rPr>
      <t xml:space="preserve">2%</t>
    </r>
    <r>
      <rPr>
        <i val="true"/>
        <sz val="9"/>
        <color rgb="FF777777"/>
        <rFont val="Noto Sans CJK SC"/>
        <family val="2"/>
      </rPr>
      <t xml:space="preserve">（信心分數）、且方向不一致（</t>
    </r>
    <r>
      <rPr>
        <i val="true"/>
        <sz val="9"/>
        <color rgb="FF777777"/>
        <rFont val="Arial"/>
        <family val="0"/>
        <charset val="1"/>
      </rPr>
      <t xml:space="preserve">denoise_off </t>
    </r>
    <r>
      <rPr>
        <i val="true"/>
        <sz val="9"/>
        <color rgb="FF777777"/>
        <rFont val="Noto Sans CJK SC"/>
        <family val="2"/>
      </rPr>
      <t xml:space="preserve">反而在更多影格多抓到額外文字：</t>
    </r>
    <r>
      <rPr>
        <i val="true"/>
        <sz val="9"/>
        <color rgb="FF777777"/>
        <rFont val="Arial"/>
        <family val="0"/>
        <charset val="1"/>
      </rPr>
      <t xml:space="preserve">116 vs 77</t>
    </r>
    <r>
      <rPr>
        <i val="true"/>
        <sz val="9"/>
        <color rgb="FF777777"/>
        <rFont val="Noto Sans CJK SC"/>
        <family val="2"/>
      </rPr>
      <t xml:space="preserve">），代表 </t>
    </r>
    <r>
      <rPr>
        <i val="true"/>
        <sz val="9"/>
        <color rgb="FF777777"/>
        <rFont val="Arial"/>
        <family val="0"/>
        <charset val="1"/>
      </rPr>
      <t xml:space="preserve">denoise </t>
    </r>
    <r>
      <rPr>
        <i val="true"/>
        <sz val="9"/>
        <color rgb="FF777777"/>
        <rFont val="Noto Sans CJK SC"/>
        <family val="2"/>
      </rPr>
      <t xml:space="preserve">沒有穩定提升辨識細節。</t>
    </r>
    <r>
      <rPr>
        <i val="true"/>
        <sz val="9"/>
        <color rgb="FF777777"/>
        <rFont val="Arial"/>
        <family val="0"/>
        <charset val="1"/>
      </rPr>
      <t xml:space="preserve">Phase2 </t>
    </r>
    <r>
      <rPr>
        <i val="true"/>
        <sz val="9"/>
        <color rgb="FF777777"/>
        <rFont val="Noto Sans CJK SC"/>
        <family val="2"/>
      </rPr>
      <t xml:space="preserve">前處理耗時則相差 </t>
    </r>
    <r>
      <rPr>
        <i val="true"/>
        <sz val="9"/>
        <color rgb="FF777777"/>
        <rFont val="Arial"/>
        <family val="0"/>
        <charset val="1"/>
      </rPr>
      <t xml:space="preserve">10.4 </t>
    </r>
    <r>
      <rPr>
        <i val="true"/>
        <sz val="9"/>
        <color rgb="FF777777"/>
        <rFont val="Noto Sans CJK SC"/>
        <family val="2"/>
      </rPr>
      <t xml:space="preserve">倍（</t>
    </r>
    <r>
      <rPr>
        <i val="true"/>
        <sz val="9"/>
        <color rgb="FF777777"/>
        <rFont val="Arial"/>
        <family val="0"/>
        <charset val="1"/>
      </rPr>
      <t xml:space="preserve">122.82s vs 11.85s / 619 </t>
    </r>
    <r>
      <rPr>
        <i val="true"/>
        <sz val="9"/>
        <color rgb="FF777777"/>
        <rFont val="Noto Sans CJK SC"/>
        <family val="2"/>
      </rPr>
      <t xml:space="preserve">影格）。</t>
    </r>
  </si>
  <si>
    <r>
      <rPr>
        <b val="true"/>
        <sz val="10"/>
        <rFont val="Noto Sans CJK SC"/>
        <family val="2"/>
      </rPr>
      <t xml:space="preserve">二、本次 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Noto Sans CJK SC"/>
        <family val="2"/>
      </rPr>
      <t xml:space="preserve">支影片：以歷史 </t>
    </r>
    <r>
      <rPr>
        <b val="true"/>
        <sz val="10"/>
        <rFont val="Arial"/>
        <family val="0"/>
        <charset val="1"/>
      </rPr>
      <t xml:space="preserve">denoise_off </t>
    </r>
    <r>
      <rPr>
        <b val="true"/>
        <sz val="10"/>
        <rFont val="Noto Sans CJK SC"/>
        <family val="2"/>
      </rPr>
      <t xml:space="preserve">每影格耗時外推估算（本次僅實測 </t>
    </r>
    <r>
      <rPr>
        <b val="true"/>
        <sz val="10"/>
        <rFont val="Arial"/>
        <family val="0"/>
        <charset val="1"/>
      </rPr>
      <t xml:space="preserve">denoise_on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off </t>
    </r>
    <r>
      <rPr>
        <b val="true"/>
        <sz val="10"/>
        <rFont val="Noto Sans CJK SC"/>
        <family val="2"/>
      </rPr>
      <t xml:space="preserve">為估算值，非直接測量）</t>
    </r>
  </si>
  <si>
    <r>
      <rPr>
        <b val="true"/>
        <sz val="11"/>
        <color rgb="FFFFFFFF"/>
        <rFont val="Arial"/>
        <family val="0"/>
        <charset val="1"/>
      </rPr>
      <t xml:space="preserve">denoise_on</t>
    </r>
    <r>
      <rPr>
        <b val="true"/>
        <sz val="11"/>
        <color rgb="FFFFFFFF"/>
        <rFont val="Noto Sans CJK SC"/>
        <family val="2"/>
      </rPr>
      <t xml:space="preserve">前處理耗時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秒，實測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</si>
  <si>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denoise_off</t>
    </r>
    <r>
      <rPr>
        <b val="true"/>
        <sz val="11"/>
        <color rgb="FFFFFFFF"/>
        <rFont val="Noto Sans CJK SC"/>
        <family val="2"/>
      </rPr>
      <t xml:space="preserve">前處理耗時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秒，估算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</si>
  <si>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預估節省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秒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</si>
  <si>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denoise_on</t>
    </r>
    <r>
      <rPr>
        <b val="true"/>
        <sz val="11"/>
        <color rgb="FFFFFFFF"/>
        <rFont val="Noto Sans CJK SC"/>
        <family val="2"/>
      </rPr>
      <t xml:space="preserve">總管線耗時</t>
    </r>
    <r>
      <rPr>
        <b val="true"/>
        <sz val="11"/>
        <color rgb="FFFFFFFF"/>
        <rFont val="Arial"/>
        <family val="0"/>
        <charset val="1"/>
      </rPr>
      <t xml:space="preserve">(Komoran)</t>
    </r>
  </si>
  <si>
    <r>
      <rPr>
        <b val="true"/>
        <sz val="11"/>
        <color rgb="FFFFFFFF"/>
        <rFont val="Arial"/>
        <family val="0"/>
        <charset val="1"/>
      </rPr>
      <t xml:space="preserve">denoise_off</t>
    </r>
    <r>
      <rPr>
        <b val="true"/>
        <sz val="11"/>
        <color rgb="FFFFFFFF"/>
        <rFont val="Noto Sans CJK SC"/>
        <family val="2"/>
      </rPr>
      <t xml:space="preserve">估算總管線耗時</t>
    </r>
    <r>
      <rPr>
        <b val="true"/>
        <sz val="11"/>
        <color rgb="FFFFFFFF"/>
        <rFont val="Arial"/>
        <family val="0"/>
        <charset val="1"/>
      </rPr>
      <t xml:space="preserve">(Komoran)</t>
    </r>
  </si>
  <si>
    <r>
      <rPr>
        <b val="true"/>
        <sz val="11"/>
        <color rgb="FFFFFFFF"/>
        <rFont val="Arial"/>
        <family val="0"/>
        <charset val="1"/>
      </rPr>
      <t xml:space="preserve">denoise_on</t>
    </r>
    <r>
      <rPr>
        <b val="true"/>
        <sz val="11"/>
        <color rgb="FFFFFFFF"/>
        <rFont val="Noto Sans CJK SC"/>
        <family val="2"/>
      </rPr>
      <t xml:space="preserve">時間預算比</t>
    </r>
  </si>
  <si>
    <r>
      <rPr>
        <b val="true"/>
        <sz val="11"/>
        <color rgb="FFFFFFFF"/>
        <rFont val="Arial"/>
        <family val="0"/>
        <charset val="1"/>
      </rPr>
      <t xml:space="preserve">denoise_off</t>
    </r>
    <r>
      <rPr>
        <b val="true"/>
        <sz val="11"/>
        <color rgb="FFFFFFFF"/>
        <rFont val="Noto Sans CJK SC"/>
        <family val="2"/>
      </rPr>
      <t xml:space="preserve">估算時間預算比</t>
    </r>
  </si>
  <si>
    <r>
      <rPr>
        <i val="true"/>
        <sz val="9"/>
        <color rgb="FF777777"/>
        <rFont val="Noto Sans CJK SC"/>
        <family val="2"/>
      </rPr>
      <t xml:space="preserve">驗證：本次實測 </t>
    </r>
    <r>
      <rPr>
        <i val="true"/>
        <sz val="9"/>
        <color rgb="FF777777"/>
        <rFont val="Arial"/>
        <family val="0"/>
        <charset val="1"/>
      </rPr>
      <t xml:space="preserve">01.mkv denoise_on </t>
    </r>
    <r>
      <rPr>
        <i val="true"/>
        <sz val="9"/>
        <color rgb="FF777777"/>
        <rFont val="Noto Sans CJK SC"/>
        <family val="2"/>
      </rPr>
      <t xml:space="preserve">前處理為 </t>
    </r>
    <r>
      <rPr>
        <i val="true"/>
        <sz val="9"/>
        <color rgb="FF777777"/>
        <rFont val="Arial"/>
        <family val="0"/>
        <charset val="1"/>
      </rPr>
      <t xml:space="preserve">145.36</t>
    </r>
    <r>
      <rPr>
        <i val="true"/>
        <sz val="9"/>
        <color rgb="FF777777"/>
        <rFont val="Noto Sans CJK SC"/>
        <family val="2"/>
      </rPr>
      <t xml:space="preserve">秒</t>
    </r>
    <r>
      <rPr>
        <i val="true"/>
        <sz val="9"/>
        <color rgb="FF777777"/>
        <rFont val="Arial"/>
        <family val="0"/>
        <charset val="1"/>
      </rPr>
      <t xml:space="preserve">/731</t>
    </r>
    <r>
      <rPr>
        <i val="true"/>
        <sz val="9"/>
        <color rgb="FF777777"/>
        <rFont val="Noto Sans CJK SC"/>
        <family val="2"/>
      </rPr>
      <t xml:space="preserve">影格</t>
    </r>
    <r>
      <rPr>
        <i val="true"/>
        <sz val="9"/>
        <color rgb="FF777777"/>
        <rFont val="Arial"/>
        <family val="0"/>
        <charset val="1"/>
      </rPr>
      <t xml:space="preserve">=0.1989</t>
    </r>
    <r>
      <rPr>
        <i val="true"/>
        <sz val="9"/>
        <color rgb="FF777777"/>
        <rFont val="Noto Sans CJK SC"/>
        <family val="2"/>
      </rPr>
      <t xml:space="preserve">秒</t>
    </r>
    <r>
      <rPr>
        <i val="true"/>
        <sz val="9"/>
        <color rgb="FF777777"/>
        <rFont val="Arial"/>
        <family val="0"/>
        <charset val="1"/>
      </rPr>
      <t xml:space="preserve">/</t>
    </r>
    <r>
      <rPr>
        <i val="true"/>
        <sz val="9"/>
        <color rgb="FF777777"/>
        <rFont val="Noto Sans CJK SC"/>
        <family val="2"/>
      </rPr>
      <t xml:space="preserve">影格，</t>
    </r>
    <r>
      <rPr>
        <i val="true"/>
        <sz val="9"/>
        <color rgb="FF777777"/>
        <rFont val="Arial"/>
        <family val="0"/>
        <charset val="1"/>
      </rPr>
      <t xml:space="preserve">02.mp4 </t>
    </r>
    <r>
      <rPr>
        <i val="true"/>
        <sz val="9"/>
        <color rgb="FF777777"/>
        <rFont val="Noto Sans CJK SC"/>
        <family val="2"/>
      </rPr>
      <t xml:space="preserve">為 </t>
    </r>
    <r>
      <rPr>
        <i val="true"/>
        <sz val="9"/>
        <color rgb="FF777777"/>
        <rFont val="Arial"/>
        <family val="0"/>
        <charset val="1"/>
      </rPr>
      <t xml:space="preserve">278.97</t>
    </r>
    <r>
      <rPr>
        <i val="true"/>
        <sz val="9"/>
        <color rgb="FF777777"/>
        <rFont val="Noto Sans CJK SC"/>
        <family val="2"/>
      </rPr>
      <t xml:space="preserve">秒</t>
    </r>
    <r>
      <rPr>
        <i val="true"/>
        <sz val="9"/>
        <color rgb="FF777777"/>
        <rFont val="Arial"/>
        <family val="0"/>
        <charset val="1"/>
      </rPr>
      <t xml:space="preserve">/1122</t>
    </r>
    <r>
      <rPr>
        <i val="true"/>
        <sz val="9"/>
        <color rgb="FF777777"/>
        <rFont val="Noto Sans CJK SC"/>
        <family val="2"/>
      </rPr>
      <t xml:space="preserve">影格</t>
    </r>
    <r>
      <rPr>
        <i val="true"/>
        <sz val="9"/>
        <color rgb="FF777777"/>
        <rFont val="Arial"/>
        <family val="0"/>
        <charset val="1"/>
      </rPr>
      <t xml:space="preserve">=0.2487</t>
    </r>
    <r>
      <rPr>
        <i val="true"/>
        <sz val="9"/>
        <color rgb="FF777777"/>
        <rFont val="Noto Sans CJK SC"/>
        <family val="2"/>
      </rPr>
      <t xml:space="preserve">秒</t>
    </r>
    <r>
      <rPr>
        <i val="true"/>
        <sz val="9"/>
        <color rgb="FF777777"/>
        <rFont val="Arial"/>
        <family val="0"/>
        <charset val="1"/>
      </rPr>
      <t xml:space="preserve">/</t>
    </r>
    <r>
      <rPr>
        <i val="true"/>
        <sz val="9"/>
        <color rgb="FF777777"/>
        <rFont val="Noto Sans CJK SC"/>
        <family val="2"/>
      </rPr>
      <t xml:space="preserve">影格，皆與歷史 </t>
    </r>
    <r>
      <rPr>
        <i val="true"/>
        <sz val="9"/>
        <color rgb="FF777777"/>
        <rFont val="Arial"/>
        <family val="0"/>
        <charset val="1"/>
      </rPr>
      <t xml:space="preserve">001.mkv </t>
    </r>
    <r>
      <rPr>
        <i val="true"/>
        <sz val="9"/>
        <color rgb="FF777777"/>
        <rFont val="Noto Sans CJK SC"/>
        <family val="2"/>
      </rPr>
      <t xml:space="preserve">的 </t>
    </r>
    <r>
      <rPr>
        <i val="true"/>
        <sz val="9"/>
        <color rgb="FF777777"/>
        <rFont val="Arial"/>
        <family val="0"/>
        <charset val="1"/>
      </rPr>
      <t xml:space="preserve">0.1984</t>
    </r>
    <r>
      <rPr>
        <i val="true"/>
        <sz val="9"/>
        <color rgb="FF777777"/>
        <rFont val="Noto Sans CJK SC"/>
        <family val="2"/>
      </rPr>
      <t xml:space="preserve">秒</t>
    </r>
    <r>
      <rPr>
        <i val="true"/>
        <sz val="9"/>
        <color rgb="FF777777"/>
        <rFont val="Arial"/>
        <family val="0"/>
        <charset val="1"/>
      </rPr>
      <t xml:space="preserve">/</t>
    </r>
    <r>
      <rPr>
        <i val="true"/>
        <sz val="9"/>
        <color rgb="FF777777"/>
        <rFont val="Noto Sans CJK SC"/>
        <family val="2"/>
      </rPr>
      <t xml:space="preserve">影格（</t>
    </r>
    <r>
      <rPr>
        <i val="true"/>
        <sz val="9"/>
        <color rgb="FF777777"/>
        <rFont val="Arial"/>
        <family val="0"/>
        <charset val="1"/>
      </rPr>
      <t xml:space="preserve">denoise_on</t>
    </r>
    <r>
      <rPr>
        <i val="true"/>
        <sz val="9"/>
        <color rgb="FF777777"/>
        <rFont val="Noto Sans CJK SC"/>
        <family val="2"/>
      </rPr>
      <t xml:space="preserve">）量級一致，顯示外推估算方法合理（</t>
    </r>
    <r>
      <rPr>
        <i val="true"/>
        <sz val="9"/>
        <color rgb="FF777777"/>
        <rFont val="Arial"/>
        <family val="0"/>
        <charset val="1"/>
      </rPr>
      <t xml:space="preserve">02.mp4 </t>
    </r>
    <r>
      <rPr>
        <i val="true"/>
        <sz val="9"/>
        <color rgb="FF777777"/>
        <rFont val="Noto Sans CJK SC"/>
        <family val="2"/>
      </rPr>
      <t xml:space="preserve">略高可能與畫面內容複雜度有關，</t>
    </r>
    <r>
      <rPr>
        <i val="true"/>
        <sz val="9"/>
        <color rgb="FF777777"/>
        <rFont val="Arial"/>
        <family val="0"/>
        <charset val="1"/>
      </rPr>
      <t xml:space="preserve">fastNlMeansDenoising </t>
    </r>
    <r>
      <rPr>
        <i val="true"/>
        <sz val="9"/>
        <color rgb="FF777777"/>
        <rFont val="Noto Sans CJK SC"/>
        <family val="2"/>
      </rPr>
      <t xml:space="preserve">耗時本身會受影像內容影響）。</t>
    </r>
  </si>
  <si>
    <t xml:space="preserve">三、決策</t>
  </si>
  <si>
    <r>
      <rPr>
        <sz val="10"/>
        <rFont val="Noto Sans CJK SC"/>
        <family val="2"/>
      </rPr>
      <t xml:space="preserve">決策門檻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使用者訂定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</si>
  <si>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歷史實測品質提升幅度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信心分數差，即</t>
    </r>
    <r>
      <rPr>
        <sz val="10"/>
        <rFont val="Arial"/>
        <family val="0"/>
        <charset val="1"/>
      </rPr>
      <t xml:space="preserve">denoise_on</t>
    </r>
    <r>
      <rPr>
        <sz val="10"/>
        <rFont val="Noto Sans CJK SC"/>
        <family val="2"/>
      </rPr>
      <t xml:space="preserve">比</t>
    </r>
    <r>
      <rPr>
        <sz val="10"/>
        <rFont val="Arial"/>
        <family val="0"/>
        <charset val="1"/>
      </rPr>
      <t xml:space="preserve">denoise_off</t>
    </r>
    <r>
      <rPr>
        <sz val="10"/>
        <rFont val="Noto Sans CJK SC"/>
        <family val="2"/>
      </rPr>
      <t xml:space="preserve">多出的比例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</si>
  <si>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是否達到</t>
    </r>
    <r>
      <rPr>
        <sz val="10"/>
        <rFont val="Arial"/>
        <family val="0"/>
        <charset val="1"/>
      </rPr>
      <t xml:space="preserve">15%</t>
    </r>
    <r>
      <rPr>
        <sz val="10"/>
        <rFont val="Noto Sans CJK SC"/>
        <family val="2"/>
      </rPr>
      <t xml:space="preserve">門檻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</si>
</sst>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%"/>
    <numFmt numFmtId="166" formatCode="0.0%"/>
    <numFmt numFmtId="167" formatCode="0.000"/>
    <numFmt numFmtId="168" formatCode="0.00"/>
    <numFmt numFmtId="169" formatCode="0%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b val="true"/>
      <sz val="15"/>
      <name val="Noto Sans CJK SC"/>
      <family val="2"/>
    </font>
    <font>
      <i val="true"/>
      <sz val="10"/>
      <color rgb="FF555555"/>
      <name val="Noto Sans CJK SC"/>
      <family val="2"/>
    </font>
    <font>
      <i val="true"/>
      <sz val="10"/>
      <color rgb="FF555555"/>
      <name val="Arial"/>
      <family val="0"/>
      <charset val="1"/>
    </font>
    <font>
      <b val="true"/>
      <sz val="11"/>
      <name val="Noto Sans CJK SC"/>
      <family val="2"/>
    </font>
    <font>
      <b val="true"/>
      <sz val="11"/>
      <color rgb="FF1F4E78"/>
      <name val="Arial"/>
      <family val="0"/>
      <charset val="1"/>
    </font>
    <font>
      <b val="true"/>
      <sz val="11"/>
      <color rgb="FF1F4E78"/>
      <name val="Noto Sans CJK SC"/>
      <family val="2"/>
    </font>
    <font>
      <b val="true"/>
      <sz val="13"/>
      <color rgb="FF1F4E78"/>
      <name val="Arial"/>
      <family val="0"/>
      <charset val="1"/>
    </font>
    <font>
      <i val="true"/>
      <sz val="9"/>
      <color rgb="FF777777"/>
      <name val="Arial"/>
      <family val="0"/>
      <charset val="1"/>
    </font>
    <font>
      <i val="true"/>
      <sz val="9"/>
      <color rgb="FF777777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name val="Arial"/>
      <family val="0"/>
      <charset val="1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b val="true"/>
      <sz val="11"/>
      <color rgb="FFFFFFFF"/>
      <name val="Arial"/>
      <family val="0"/>
      <charset val="1"/>
    </font>
    <font>
      <i val="true"/>
      <sz val="10"/>
      <color rgb="FFC00000"/>
      <name val="Noto Sans CJK SC"/>
      <family val="2"/>
    </font>
    <font>
      <i val="true"/>
      <sz val="10"/>
      <color rgb="FFC00000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Noto Sans CJK SC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b val="true"/>
      <sz val="18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  <fill>
      <patternFill patternType="solid">
        <fgColor rgb="FFC6EFCE"/>
        <bgColor rgb="FFD9D9D9"/>
      </patternFill>
    </fill>
    <fill>
      <patternFill patternType="solid">
        <fgColor rgb="FFFFC7C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4F81BD"/>
      <rgbColor rgb="FF33CCCC"/>
      <rgbColor rgb="FF9BBB59"/>
      <rgbColor rgb="FFFFCC00"/>
      <rgbColor rgb="FFFF9900"/>
      <rgbColor rgb="FFFF6600"/>
      <rgbColor rgb="FF777777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字典命中率比較（依影片）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通道比較!B4</c:f>
              <c:strCache>
                <c:ptCount val="1"/>
                <c:pt idx="0">
                  <c:v>01.mkv 命中率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通道比較!$A$5:$A$9</c:f>
              <c:strCache>
                <c:ptCount val="5"/>
                <c:pt idx="0">
                  <c:v>Channel1-Okt</c:v>
                </c:pt>
                <c:pt idx="1">
                  <c:v>Channel1-Komoran</c:v>
                </c:pt>
                <c:pt idx="2">
                  <c:v>Channel1-Kkma</c:v>
                </c:pt>
                <c:pt idx="3">
                  <c:v>Channel1-Mecab</c:v>
                </c:pt>
                <c:pt idx="4">
                  <c:v>Channel3</c:v>
                </c:pt>
              </c:strCache>
            </c:strRef>
          </c:cat>
          <c:val>
            <c:numRef>
              <c:f>通道比較!$B$5:$B$9</c:f>
              <c:numCache>
                <c:formatCode>0.00%</c:formatCode>
                <c:ptCount val="5"/>
                <c:pt idx="0">
                  <c:v>0.728378378378378</c:v>
                </c:pt>
                <c:pt idx="1">
                  <c:v>0.804670912951168</c:v>
                </c:pt>
                <c:pt idx="2">
                  <c:v>0.802481902792141</c:v>
                </c:pt>
                <c:pt idx="3">
                  <c:v>0.788439306358382</c:v>
                </c:pt>
                <c:pt idx="4">
                  <c:v>0.791907514450867</c:v>
                </c:pt>
              </c:numCache>
            </c:numRef>
          </c:val>
        </c:ser>
        <c:ser>
          <c:idx val="1"/>
          <c:order val="1"/>
          <c:tx>
            <c:strRef>
              <c:f>通道比較!C4</c:f>
              <c:strCache>
                <c:ptCount val="1"/>
                <c:pt idx="0">
                  <c:v>02.mp4 命中率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通道比較!$A$5:$A$9</c:f>
              <c:strCache>
                <c:ptCount val="5"/>
                <c:pt idx="0">
                  <c:v>Channel1-Okt</c:v>
                </c:pt>
                <c:pt idx="1">
                  <c:v>Channel1-Komoran</c:v>
                </c:pt>
                <c:pt idx="2">
                  <c:v>Channel1-Kkma</c:v>
                </c:pt>
                <c:pt idx="3">
                  <c:v>Channel1-Mecab</c:v>
                </c:pt>
                <c:pt idx="4">
                  <c:v>Channel3</c:v>
                </c:pt>
              </c:strCache>
            </c:strRef>
          </c:cat>
          <c:val>
            <c:numRef>
              <c:f>通道比較!$C$5:$C$9</c:f>
              <c:numCache>
                <c:formatCode>0.00%</c:formatCode>
                <c:ptCount val="5"/>
                <c:pt idx="0">
                  <c:v>0.769802900706582</c:v>
                </c:pt>
                <c:pt idx="1">
                  <c:v>0.880512514898689</c:v>
                </c:pt>
                <c:pt idx="2">
                  <c:v>0.857562408223201</c:v>
                </c:pt>
                <c:pt idx="3">
                  <c:v>0.825570189527787</c:v>
                </c:pt>
                <c:pt idx="4">
                  <c:v>0.830067459042724</c:v>
                </c:pt>
              </c:numCache>
            </c:numRef>
          </c:val>
        </c:ser>
        <c:ser>
          <c:idx val="2"/>
          <c:order val="2"/>
          <c:tx>
            <c:strRef>
              <c:f>通道比較!D4</c:f>
              <c:strCache>
                <c:ptCount val="1"/>
                <c:pt idx="0">
                  <c:v>加權平均命中率(本次2支)</c:v>
                </c:pt>
              </c:strCache>
            </c:strRef>
          </c:tx>
          <c:spPr>
            <a:solidFill>
              <a:srgbClr val="9BBB59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通道比較!$A$5:$A$9</c:f>
              <c:strCache>
                <c:ptCount val="5"/>
                <c:pt idx="0">
                  <c:v>Channel1-Okt</c:v>
                </c:pt>
                <c:pt idx="1">
                  <c:v>Channel1-Komoran</c:v>
                </c:pt>
                <c:pt idx="2">
                  <c:v>Channel1-Kkma</c:v>
                </c:pt>
                <c:pt idx="3">
                  <c:v>Channel1-Mecab</c:v>
                </c:pt>
                <c:pt idx="4">
                  <c:v>Channel3</c:v>
                </c:pt>
              </c:strCache>
            </c:strRef>
          </c:cat>
          <c:val>
            <c:numRef>
              <c:f>通道比較!$D$5:$D$9</c:f>
              <c:numCache>
                <c:formatCode>0.00%</c:formatCode>
                <c:ptCount val="5"/>
                <c:pt idx="0">
                  <c:v>0.760863225430155</c:v>
                </c:pt>
                <c:pt idx="1">
                  <c:v>0.863890181479758</c:v>
                </c:pt>
                <c:pt idx="2">
                  <c:v>0.845379688929552</c:v>
                </c:pt>
                <c:pt idx="3">
                  <c:v>0.817496229260935</c:v>
                </c:pt>
                <c:pt idx="4">
                  <c:v>0.821769733534439</c:v>
                </c:pt>
              </c:numCache>
            </c:numRef>
          </c:val>
        </c:ser>
        <c:gapWidth val="150"/>
        <c:overlap val="0"/>
        <c:axId val="42076763"/>
        <c:axId val="8642216"/>
      </c:barChart>
      <c:catAx>
        <c:axId val="4207676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通道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642216"/>
        <c:crosses val="autoZero"/>
        <c:auto val="1"/>
        <c:lblAlgn val="ctr"/>
        <c:lblOffset val="100"/>
        <c:noMultiLvlLbl val="0"/>
      </c:catAx>
      <c:valAx>
        <c:axId val="86422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命中率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207676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時間預算比比較（依影片，1.0 = 影片本身長度）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通道比較!F4</c:f>
              <c:strCache>
                <c:ptCount val="1"/>
                <c:pt idx="0">
                  <c:v>01.mkv 時間預算比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通道比較!$A$5:$A$9</c:f>
              <c:strCache>
                <c:ptCount val="5"/>
                <c:pt idx="0">
                  <c:v>Channel1-Okt</c:v>
                </c:pt>
                <c:pt idx="1">
                  <c:v>Channel1-Komoran</c:v>
                </c:pt>
                <c:pt idx="2">
                  <c:v>Channel1-Kkma</c:v>
                </c:pt>
                <c:pt idx="3">
                  <c:v>Channel1-Mecab</c:v>
                </c:pt>
                <c:pt idx="4">
                  <c:v>Channel3</c:v>
                </c:pt>
              </c:strCache>
            </c:strRef>
          </c:cat>
          <c:val>
            <c:numRef>
              <c:f>通道比較!$F$5:$F$9</c:f>
              <c:numCache>
                <c:formatCode>0.000</c:formatCode>
                <c:ptCount val="5"/>
                <c:pt idx="0">
                  <c:v>0.636674116190664</c:v>
                </c:pt>
                <c:pt idx="1">
                  <c:v>0.640713839681862</c:v>
                </c:pt>
                <c:pt idx="2">
                  <c:v>0.644315355879099</c:v>
                </c:pt>
                <c:pt idx="3">
                  <c:v>0.635647067845444</c:v>
                </c:pt>
                <c:pt idx="4">
                  <c:v>0.718851677786177</c:v>
                </c:pt>
              </c:numCache>
            </c:numRef>
          </c:val>
        </c:ser>
        <c:ser>
          <c:idx val="1"/>
          <c:order val="1"/>
          <c:tx>
            <c:strRef>
              <c:f>通道比較!G4</c:f>
              <c:strCache>
                <c:ptCount val="1"/>
                <c:pt idx="0">
                  <c:v>02.mp4 時間預算比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通道比較!$A$5:$A$9</c:f>
              <c:strCache>
                <c:ptCount val="5"/>
                <c:pt idx="0">
                  <c:v>Channel1-Okt</c:v>
                </c:pt>
                <c:pt idx="1">
                  <c:v>Channel1-Komoran</c:v>
                </c:pt>
                <c:pt idx="2">
                  <c:v>Channel1-Kkma</c:v>
                </c:pt>
                <c:pt idx="3">
                  <c:v>Channel1-Mecab</c:v>
                </c:pt>
                <c:pt idx="4">
                  <c:v>Channel3</c:v>
                </c:pt>
              </c:strCache>
            </c:strRef>
          </c:cat>
          <c:val>
            <c:numRef>
              <c:f>通道比較!$G$5:$G$9</c:f>
              <c:numCache>
                <c:formatCode>0.000</c:formatCode>
                <c:ptCount val="5"/>
                <c:pt idx="0">
                  <c:v>0.679753263857536</c:v>
                </c:pt>
                <c:pt idx="1">
                  <c:v>0.693778434363538</c:v>
                </c:pt>
                <c:pt idx="2">
                  <c:v>0.694001056117601</c:v>
                </c:pt>
                <c:pt idx="3">
                  <c:v>0.686912779468219</c:v>
                </c:pt>
                <c:pt idx="4">
                  <c:v>0.854270909303007</c:v>
                </c:pt>
              </c:numCache>
            </c:numRef>
          </c:val>
        </c:ser>
        <c:gapWidth val="150"/>
        <c:overlap val="0"/>
        <c:axId val="60320748"/>
        <c:axId val="92668403"/>
      </c:barChart>
      <c:catAx>
        <c:axId val="6032074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通道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2668403"/>
        <c:crosses val="autoZero"/>
        <c:auto val="1"/>
        <c:lblAlgn val="ctr"/>
        <c:lblOffset val="100"/>
        <c:noMultiLvlLbl val="0"/>
      </c:catAx>
      <c:valAx>
        <c:axId val="926684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時間預算比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032074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12</xdr:row>
      <xdr:rowOff>0</xdr:rowOff>
    </xdr:from>
    <xdr:to>
      <xdr:col>5</xdr:col>
      <xdr:colOff>558720</xdr:colOff>
      <xdr:row>27</xdr:row>
      <xdr:rowOff>22320</xdr:rowOff>
    </xdr:to>
    <xdr:graphicFrame>
      <xdr:nvGraphicFramePr>
        <xdr:cNvPr id="1" name="Chart 1"/>
        <xdr:cNvGraphicFramePr/>
      </xdr:nvGraphicFramePr>
      <xdr:xfrm>
        <a:off x="0" y="259596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30</xdr:row>
      <xdr:rowOff>0</xdr:rowOff>
    </xdr:from>
    <xdr:to>
      <xdr:col>5</xdr:col>
      <xdr:colOff>558720</xdr:colOff>
      <xdr:row>45</xdr:row>
      <xdr:rowOff>22320</xdr:rowOff>
    </xdr:to>
    <xdr:graphicFrame>
      <xdr:nvGraphicFramePr>
        <xdr:cNvPr id="2" name="Chart 2"/>
        <xdr:cNvGraphicFramePr/>
      </xdr:nvGraphicFramePr>
      <xdr:xfrm>
        <a:off x="0" y="602496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4"/>
    <col collapsed="false" customWidth="true" hidden="false" outlineLevel="0" max="3" min="3" style="0" width="46"/>
    <col collapsed="false" customWidth="true" hidden="false" outlineLevel="0" max="4" min="4" style="0" width="60"/>
  </cols>
  <sheetData>
    <row r="1" customFormat="false" ht="23.1" hidden="false" customHeight="false" outlineLevel="0" collapsed="false">
      <c r="A1" s="1" t="s">
        <v>0</v>
      </c>
    </row>
    <row r="2" customFormat="false" ht="42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7.15" hidden="false" customHeight="false" outlineLevel="0" collapsed="false">
      <c r="A4" s="3" t="s">
        <v>2</v>
      </c>
      <c r="B4" s="4" t="s">
        <v>3</v>
      </c>
      <c r="C4" s="4"/>
      <c r="D4" s="4"/>
      <c r="E4" s="4"/>
      <c r="F4" s="4"/>
    </row>
    <row r="5" customFormat="false" ht="16.15" hidden="false" customHeight="false" outlineLevel="0" collapsed="false">
      <c r="A5" s="3" t="s">
        <v>4</v>
      </c>
      <c r="B5" s="5" t="n">
        <f aca="false">AVERAGE(Denoise開關評估!I17:I18)</f>
        <v>0.46265399952526</v>
      </c>
      <c r="C5" s="6" t="s">
        <v>5</v>
      </c>
    </row>
    <row r="7" customFormat="false" ht="32.8" hidden="false" customHeight="false" outlineLevel="0" collapsed="false">
      <c r="A7" s="7" t="s">
        <v>6</v>
      </c>
      <c r="B7" s="7" t="s">
        <v>7</v>
      </c>
      <c r="C7" s="7" t="s">
        <v>8</v>
      </c>
      <c r="D7" s="7" t="s">
        <v>9</v>
      </c>
    </row>
    <row r="8" customFormat="false" ht="60" hidden="false" customHeight="true" outlineLevel="0" collapsed="false">
      <c r="A8" s="8" t="s">
        <v>10</v>
      </c>
      <c r="B8" s="9" t="s">
        <v>11</v>
      </c>
      <c r="C8" s="10" t="str">
        <f aca="false">"本次加權命中率 "&amp;TEXT(通道比較!D6,"0.0%")&amp;"（歷史10支影片："&amp;TEXT(通道比較!E6,"0.0%")&amp;"）；效率分數 "&amp;TEXT(通道比較!I6,"0.00")&amp;"（4引擎中最高）"</f>
        <v>本次加權命中率 86.4%（歷史10支影片：86.5%）；效率分數 1.29（4引擎中最高）</v>
      </c>
      <c r="D8" s="11" t="s">
        <v>12</v>
      </c>
    </row>
    <row r="9" customFormat="false" ht="60" hidden="false" customHeight="true" outlineLevel="0" collapsed="false">
      <c r="A9" s="8" t="s">
        <v>13</v>
      </c>
      <c r="B9" s="12" t="s">
        <v>14</v>
      </c>
      <c r="C9" s="10" t="str">
        <f aca="false">"2/2次真實測試皆失敗；02.mp4崩潰前已耗時"&amp;TEXT(Channel2與Channel3成本效益!C6,"0")&amp;"秒，超過影片本身"&amp;TEXT(Channel2與Channel3成本效益!B6,"0")&amp;"秒的長度"</f>
        <v>2/2次真實測試皆失敗；02.mp4崩潰前已耗時1387秒，超過影片本身1123秒的長度</v>
      </c>
      <c r="D9" s="10" t="s">
        <v>15</v>
      </c>
    </row>
    <row r="10" customFormat="false" ht="60" hidden="false" customHeight="true" outlineLevel="0" collapsed="false">
      <c r="A10" s="8" t="s">
        <v>16</v>
      </c>
      <c r="B10" s="12" t="s">
        <v>17</v>
      </c>
      <c r="C10" s="10" t="str">
        <f aca="false">"fallback成功率僅"&amp;TEXT(Channel2與Channel3成本效益!D20,"0.0%")&amp;"／"&amp;TEXT(Channel2與Channel3成本效益!D21,"0.0%")&amp;"（歷史10支影片1.7%），命中率"&amp;TEXT(Channel2與Channel3成本效益!H20,"0.0%")&amp;"／"&amp;TEXT(Channel2與Channel3成本效益!H21,"0.0%")&amp;" 皆低於Komoran"</f>
        <v>fallback成功率僅1.6%／2.6%（歷史10支影片1.7%），命中率79.2%／83.0% 皆低於Komoran</v>
      </c>
      <c r="D10" s="11" t="s">
        <v>18</v>
      </c>
    </row>
    <row r="11" customFormat="false" ht="60" hidden="false" customHeight="true" outlineLevel="0" collapsed="false">
      <c r="A11" s="8" t="s">
        <v>19</v>
      </c>
      <c r="B11" s="9" t="s">
        <v>20</v>
      </c>
      <c r="C11" s="10" t="str">
        <f aca="false">Denoise開關評估!B26</f>
        <v>否，未達門檻，建議 denoise off</v>
      </c>
      <c r="D11" s="10" t="s">
        <v>21</v>
      </c>
    </row>
    <row r="13" customFormat="false" ht="15" hidden="false" customHeight="true" outlineLevel="0" collapsed="false">
      <c r="A13" s="13" t="s">
        <v>22</v>
      </c>
      <c r="B13" s="13"/>
      <c r="C13" s="13"/>
      <c r="D13" s="13"/>
    </row>
    <row r="14" customFormat="false" ht="15" hidden="false" customHeight="false" outlineLevel="0" collapsed="false">
      <c r="A14" s="13"/>
      <c r="B14" s="13"/>
      <c r="C14" s="13"/>
      <c r="D14" s="13"/>
    </row>
    <row r="15" customFormat="false" ht="15" hidden="false" customHeight="false" outlineLevel="0" collapsed="false">
      <c r="A15" s="13"/>
      <c r="B15" s="13"/>
      <c r="C15" s="13"/>
      <c r="D15" s="13"/>
    </row>
  </sheetData>
  <mergeCells count="3">
    <mergeCell ref="A2:F2"/>
    <mergeCell ref="B4:F4"/>
    <mergeCell ref="A13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20"/>
    <col collapsed="false" customWidth="true" hidden="false" outlineLevel="0" max="8" min="7" style="0" width="11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20"/>
    <col collapsed="false" customWidth="true" hidden="false" outlineLevel="0" max="12" min="12" style="0" width="9"/>
    <col collapsed="false" customWidth="true" hidden="false" outlineLevel="0" max="15" min="13" style="0" width="11"/>
    <col collapsed="false" customWidth="true" hidden="false" outlineLevel="0" max="17" min="16" style="0" width="10"/>
    <col collapsed="false" customWidth="true" hidden="false" outlineLevel="0" max="18" min="18" style="0" width="40"/>
  </cols>
  <sheetData>
    <row r="1" customFormat="false" ht="21.6" hidden="false" customHeight="false" outlineLevel="0" collapsed="false">
      <c r="A1" s="14" t="s">
        <v>23</v>
      </c>
    </row>
    <row r="2" customFormat="false" ht="15" hidden="false" customHeight="false" outlineLevel="0" collapsed="false">
      <c r="A2" s="15" t="s">
        <v>24</v>
      </c>
    </row>
    <row r="4" customFormat="false" ht="32.8" hidden="false" customHeight="false" outlineLevel="0" collapsed="false">
      <c r="A4" s="7" t="s">
        <v>25</v>
      </c>
      <c r="B4" s="7" t="s">
        <v>26</v>
      </c>
      <c r="C4" s="7" t="s">
        <v>27</v>
      </c>
      <c r="D4" s="7" t="s">
        <v>28</v>
      </c>
      <c r="E4" s="16" t="s">
        <v>29</v>
      </c>
      <c r="F4" s="16" t="s">
        <v>30</v>
      </c>
      <c r="G4" s="16" t="s">
        <v>31</v>
      </c>
      <c r="H4" s="7" t="s">
        <v>32</v>
      </c>
      <c r="I4" s="7" t="s">
        <v>33</v>
      </c>
      <c r="J4" s="7" t="s">
        <v>34</v>
      </c>
      <c r="K4" s="7" t="s">
        <v>35</v>
      </c>
      <c r="L4" s="7" t="s">
        <v>36</v>
      </c>
      <c r="M4" s="7" t="s">
        <v>37</v>
      </c>
      <c r="N4" s="7" t="s">
        <v>38</v>
      </c>
      <c r="O4" s="16" t="s">
        <v>39</v>
      </c>
      <c r="P4" s="16" t="s">
        <v>40</v>
      </c>
      <c r="Q4" s="16" t="s">
        <v>41</v>
      </c>
      <c r="R4" s="7" t="s">
        <v>42</v>
      </c>
    </row>
    <row r="5" customFormat="false" ht="15" hidden="false" customHeight="false" outlineLevel="0" collapsed="false">
      <c r="A5" s="17" t="s">
        <v>43</v>
      </c>
      <c r="B5" s="17" t="n">
        <v>730.248</v>
      </c>
      <c r="C5" s="17" t="n">
        <v>731</v>
      </c>
      <c r="D5" s="17" t="s">
        <v>44</v>
      </c>
      <c r="E5" s="17" t="n">
        <v>30.15</v>
      </c>
      <c r="F5" s="17" t="n">
        <v>145.36</v>
      </c>
      <c r="G5" s="17" t="n">
        <v>280.13</v>
      </c>
      <c r="H5" s="17" t="n">
        <v>455.7</v>
      </c>
      <c r="I5" s="17" t="n">
        <v>9.23</v>
      </c>
      <c r="J5" s="17" t="n">
        <f aca="false">H5+I5</f>
        <v>464.93</v>
      </c>
      <c r="K5" s="18" t="n">
        <f aca="false">J5/B5</f>
        <v>0.636674116190664</v>
      </c>
      <c r="L5" s="17" t="n">
        <v>740</v>
      </c>
      <c r="M5" s="17" t="n">
        <v>539</v>
      </c>
      <c r="N5" s="19" t="n">
        <f aca="false">M5/L5</f>
        <v>0.728378378378378</v>
      </c>
      <c r="O5" s="17" t="n">
        <v>0</v>
      </c>
      <c r="P5" s="17" t="n">
        <v>0</v>
      </c>
      <c r="Q5" s="17" t="n">
        <v>0</v>
      </c>
      <c r="R5" s="17"/>
    </row>
    <row r="6" customFormat="false" ht="15" hidden="false" customHeight="false" outlineLevel="0" collapsed="false">
      <c r="A6" s="17" t="s">
        <v>43</v>
      </c>
      <c r="B6" s="17" t="n">
        <v>730.248</v>
      </c>
      <c r="C6" s="17" t="n">
        <v>731</v>
      </c>
      <c r="D6" s="17" t="s">
        <v>45</v>
      </c>
      <c r="E6" s="17" t="n">
        <v>30.15</v>
      </c>
      <c r="F6" s="17" t="n">
        <v>145.36</v>
      </c>
      <c r="G6" s="17" t="n">
        <v>280.13</v>
      </c>
      <c r="H6" s="17" t="n">
        <v>455.7</v>
      </c>
      <c r="I6" s="17" t="n">
        <v>12.18</v>
      </c>
      <c r="J6" s="17" t="n">
        <f aca="false">H6+I6</f>
        <v>467.88</v>
      </c>
      <c r="K6" s="18" t="n">
        <f aca="false">J6/B6</f>
        <v>0.640713839681862</v>
      </c>
      <c r="L6" s="17" t="n">
        <v>942</v>
      </c>
      <c r="M6" s="17" t="n">
        <v>758</v>
      </c>
      <c r="N6" s="19" t="n">
        <f aca="false">M6/L6</f>
        <v>0.804670912951168</v>
      </c>
      <c r="O6" s="17" t="n">
        <v>0</v>
      </c>
      <c r="P6" s="17" t="n">
        <v>0</v>
      </c>
      <c r="Q6" s="17" t="n">
        <v>0</v>
      </c>
      <c r="R6" s="17"/>
    </row>
    <row r="7" customFormat="false" ht="15" hidden="false" customHeight="false" outlineLevel="0" collapsed="false">
      <c r="A7" s="17" t="s">
        <v>43</v>
      </c>
      <c r="B7" s="17" t="n">
        <v>730.248</v>
      </c>
      <c r="C7" s="17" t="n">
        <v>731</v>
      </c>
      <c r="D7" s="17" t="s">
        <v>46</v>
      </c>
      <c r="E7" s="17" t="n">
        <v>30.15</v>
      </c>
      <c r="F7" s="17" t="n">
        <v>145.36</v>
      </c>
      <c r="G7" s="17" t="n">
        <v>280.13</v>
      </c>
      <c r="H7" s="17" t="n">
        <v>455.7</v>
      </c>
      <c r="I7" s="17" t="n">
        <v>14.81</v>
      </c>
      <c r="J7" s="17" t="n">
        <f aca="false">H7+I7</f>
        <v>470.51</v>
      </c>
      <c r="K7" s="18" t="n">
        <f aca="false">J7/B7</f>
        <v>0.644315355879099</v>
      </c>
      <c r="L7" s="17" t="n">
        <v>967</v>
      </c>
      <c r="M7" s="17" t="n">
        <v>776</v>
      </c>
      <c r="N7" s="19" t="n">
        <f aca="false">M7/L7</f>
        <v>0.802481902792141</v>
      </c>
      <c r="O7" s="17" t="n">
        <v>0</v>
      </c>
      <c r="P7" s="17" t="n">
        <v>0</v>
      </c>
      <c r="Q7" s="17" t="n">
        <v>0</v>
      </c>
      <c r="R7" s="17"/>
    </row>
    <row r="8" customFormat="false" ht="15" hidden="false" customHeight="false" outlineLevel="0" collapsed="false">
      <c r="A8" s="17" t="s">
        <v>43</v>
      </c>
      <c r="B8" s="17" t="n">
        <v>730.248</v>
      </c>
      <c r="C8" s="17" t="n">
        <v>731</v>
      </c>
      <c r="D8" s="17" t="s">
        <v>47</v>
      </c>
      <c r="E8" s="17" t="n">
        <v>30.15</v>
      </c>
      <c r="F8" s="17" t="n">
        <v>145.36</v>
      </c>
      <c r="G8" s="17" t="n">
        <v>280.13</v>
      </c>
      <c r="H8" s="17" t="n">
        <v>455.7</v>
      </c>
      <c r="I8" s="17" t="n">
        <v>8.48</v>
      </c>
      <c r="J8" s="17" t="n">
        <f aca="false">H8+I8</f>
        <v>464.18</v>
      </c>
      <c r="K8" s="18" t="n">
        <f aca="false">J8/B8</f>
        <v>0.635647067845444</v>
      </c>
      <c r="L8" s="17" t="n">
        <v>865</v>
      </c>
      <c r="M8" s="17" t="n">
        <v>682</v>
      </c>
      <c r="N8" s="19" t="n">
        <f aca="false">M8/L8</f>
        <v>0.788439306358382</v>
      </c>
      <c r="O8" s="17" t="n">
        <v>0</v>
      </c>
      <c r="P8" s="17" t="n">
        <v>0</v>
      </c>
      <c r="Q8" s="17" t="n">
        <v>0</v>
      </c>
      <c r="R8" s="17"/>
    </row>
    <row r="9" customFormat="false" ht="15" hidden="false" customHeight="false" outlineLevel="0" collapsed="false">
      <c r="A9" s="17" t="s">
        <v>43</v>
      </c>
      <c r="B9" s="17" t="n">
        <v>730.248</v>
      </c>
      <c r="C9" s="17" t="n">
        <v>731</v>
      </c>
      <c r="D9" s="17" t="s">
        <v>48</v>
      </c>
      <c r="E9" s="17" t="n">
        <v>30.15</v>
      </c>
      <c r="F9" s="17" t="n">
        <v>145.36</v>
      </c>
      <c r="G9" s="17" t="n">
        <v>280.13</v>
      </c>
      <c r="H9" s="17" t="n">
        <v>455.7</v>
      </c>
      <c r="I9" s="17" t="n">
        <v>69.24</v>
      </c>
      <c r="J9" s="17" t="n">
        <f aca="false">H9+I9</f>
        <v>524.94</v>
      </c>
      <c r="K9" s="18" t="n">
        <f aca="false">J9/B9</f>
        <v>0.718851677786177</v>
      </c>
      <c r="L9" s="17" t="n">
        <v>865</v>
      </c>
      <c r="M9" s="17" t="n">
        <v>685</v>
      </c>
      <c r="N9" s="19" t="n">
        <f aca="false">M9/L9</f>
        <v>0.791907514450867</v>
      </c>
      <c r="O9" s="17" t="n">
        <v>183</v>
      </c>
      <c r="P9" s="17" t="n">
        <v>3</v>
      </c>
      <c r="Q9" s="17" t="n">
        <v>180</v>
      </c>
      <c r="R9" s="17"/>
    </row>
    <row r="10" customFormat="false" ht="15" hidden="false" customHeight="false" outlineLevel="0" collapsed="false">
      <c r="A10" s="17" t="s">
        <v>43</v>
      </c>
      <c r="B10" s="17" t="n">
        <v>730.248</v>
      </c>
      <c r="C10" s="17" t="n">
        <v>731</v>
      </c>
      <c r="D10" s="17" t="s">
        <v>49</v>
      </c>
      <c r="E10" s="17" t="n">
        <v>30.15</v>
      </c>
      <c r="F10" s="17" t="n">
        <v>145.36</v>
      </c>
      <c r="G10" s="17" t="n">
        <v>280.13</v>
      </c>
      <c r="H10" s="17" t="n">
        <v>455.7</v>
      </c>
      <c r="I10" s="17" t="n">
        <v>311.5</v>
      </c>
      <c r="J10" s="17" t="n">
        <f aca="false">H10+I10</f>
        <v>767.2</v>
      </c>
      <c r="K10" s="18" t="n">
        <f aca="false">J10/B10</f>
        <v>1.05060198727008</v>
      </c>
      <c r="L10" s="17" t="s">
        <v>50</v>
      </c>
      <c r="M10" s="17" t="s">
        <v>50</v>
      </c>
      <c r="N10" s="17" t="s">
        <v>50</v>
      </c>
      <c r="O10" s="17" t="s">
        <v>50</v>
      </c>
      <c r="P10" s="17" t="s">
        <v>50</v>
      </c>
      <c r="Q10" s="17" t="s">
        <v>50</v>
      </c>
      <c r="R10" s="20" t="s">
        <v>51</v>
      </c>
    </row>
    <row r="11" customFormat="false" ht="15" hidden="false" customHeight="false" outlineLevel="0" collapsed="false">
      <c r="A11" s="17" t="s">
        <v>52</v>
      </c>
      <c r="B11" s="20" t="n">
        <v>1122.981</v>
      </c>
      <c r="C11" s="20" t="n">
        <v>1122</v>
      </c>
      <c r="D11" s="17" t="s">
        <v>44</v>
      </c>
      <c r="E11" s="20" t="n">
        <v>91.03</v>
      </c>
      <c r="F11" s="20" t="n">
        <v>278.97</v>
      </c>
      <c r="G11" s="20" t="n">
        <v>370.66</v>
      </c>
      <c r="H11" s="20" t="n">
        <v>740.66</v>
      </c>
      <c r="I11" s="20" t="n">
        <v>22.69</v>
      </c>
      <c r="J11" s="20" t="n">
        <f aca="false">H11+I11</f>
        <v>763.35</v>
      </c>
      <c r="K11" s="18" t="n">
        <f aca="false">J11/B11</f>
        <v>0.679753263857536</v>
      </c>
      <c r="L11" s="20" t="n">
        <v>2689</v>
      </c>
      <c r="M11" s="20" t="n">
        <v>2070</v>
      </c>
      <c r="N11" s="19" t="n">
        <f aca="false">M11/L11</f>
        <v>0.769802900706582</v>
      </c>
      <c r="O11" s="20" t="n">
        <v>0</v>
      </c>
      <c r="P11" s="20" t="n">
        <v>0</v>
      </c>
      <c r="Q11" s="20" t="n">
        <v>0</v>
      </c>
      <c r="R11" s="20"/>
    </row>
    <row r="12" customFormat="false" ht="15" hidden="false" customHeight="false" outlineLevel="0" collapsed="false">
      <c r="A12" s="17" t="s">
        <v>52</v>
      </c>
      <c r="B12" s="20" t="n">
        <v>1122.981</v>
      </c>
      <c r="C12" s="20" t="n">
        <v>1122</v>
      </c>
      <c r="D12" s="17" t="s">
        <v>45</v>
      </c>
      <c r="E12" s="20" t="n">
        <v>91.03</v>
      </c>
      <c r="F12" s="20" t="n">
        <v>278.97</v>
      </c>
      <c r="G12" s="20" t="n">
        <v>370.66</v>
      </c>
      <c r="H12" s="20" t="n">
        <v>740.66</v>
      </c>
      <c r="I12" s="20" t="n">
        <v>38.44</v>
      </c>
      <c r="J12" s="20" t="n">
        <f aca="false">H12+I12</f>
        <v>779.1</v>
      </c>
      <c r="K12" s="18" t="n">
        <f aca="false">J12/B12</f>
        <v>0.693778434363538</v>
      </c>
      <c r="L12" s="20" t="n">
        <v>3356</v>
      </c>
      <c r="M12" s="20" t="n">
        <v>2955</v>
      </c>
      <c r="N12" s="19" t="n">
        <f aca="false">M12/L12</f>
        <v>0.880512514898689</v>
      </c>
      <c r="O12" s="20" t="n">
        <v>0</v>
      </c>
      <c r="P12" s="20" t="n">
        <v>0</v>
      </c>
      <c r="Q12" s="20" t="n">
        <v>0</v>
      </c>
      <c r="R12" s="20"/>
    </row>
    <row r="13" customFormat="false" ht="15" hidden="false" customHeight="false" outlineLevel="0" collapsed="false">
      <c r="A13" s="17" t="s">
        <v>52</v>
      </c>
      <c r="B13" s="20" t="n">
        <v>1122.981</v>
      </c>
      <c r="C13" s="20" t="n">
        <v>1122</v>
      </c>
      <c r="D13" s="17" t="s">
        <v>46</v>
      </c>
      <c r="E13" s="20" t="n">
        <v>91.03</v>
      </c>
      <c r="F13" s="20" t="n">
        <v>278.97</v>
      </c>
      <c r="G13" s="20" t="n">
        <v>370.66</v>
      </c>
      <c r="H13" s="20" t="n">
        <v>740.66</v>
      </c>
      <c r="I13" s="20" t="n">
        <v>38.69</v>
      </c>
      <c r="J13" s="20" t="n">
        <f aca="false">H13+I13</f>
        <v>779.35</v>
      </c>
      <c r="K13" s="18" t="n">
        <f aca="false">J13/B13</f>
        <v>0.694001056117601</v>
      </c>
      <c r="L13" s="20" t="n">
        <v>3405</v>
      </c>
      <c r="M13" s="20" t="n">
        <v>2920</v>
      </c>
      <c r="N13" s="19" t="n">
        <f aca="false">M13/L13</f>
        <v>0.857562408223201</v>
      </c>
      <c r="O13" s="20" t="n">
        <v>0</v>
      </c>
      <c r="P13" s="20" t="n">
        <v>0</v>
      </c>
      <c r="Q13" s="20" t="n">
        <v>0</v>
      </c>
      <c r="R13" s="20"/>
    </row>
    <row r="14" customFormat="false" ht="15" hidden="false" customHeight="false" outlineLevel="0" collapsed="false">
      <c r="A14" s="17" t="s">
        <v>52</v>
      </c>
      <c r="B14" s="20" t="n">
        <v>1122.981</v>
      </c>
      <c r="C14" s="20" t="n">
        <v>1122</v>
      </c>
      <c r="D14" s="17" t="s">
        <v>47</v>
      </c>
      <c r="E14" s="20" t="n">
        <v>91.03</v>
      </c>
      <c r="F14" s="20" t="n">
        <v>278.97</v>
      </c>
      <c r="G14" s="20" t="n">
        <v>370.66</v>
      </c>
      <c r="H14" s="20" t="n">
        <v>740.66</v>
      </c>
      <c r="I14" s="20" t="n">
        <v>30.73</v>
      </c>
      <c r="J14" s="20" t="n">
        <f aca="false">H14+I14</f>
        <v>771.39</v>
      </c>
      <c r="K14" s="18" t="n">
        <f aca="false">J14/B14</f>
        <v>0.686912779468219</v>
      </c>
      <c r="L14" s="20" t="n">
        <v>3113</v>
      </c>
      <c r="M14" s="20" t="n">
        <v>2570</v>
      </c>
      <c r="N14" s="19" t="n">
        <f aca="false">M14/L14</f>
        <v>0.825570189527787</v>
      </c>
      <c r="O14" s="20" t="n">
        <v>0</v>
      </c>
      <c r="P14" s="20" t="n">
        <v>0</v>
      </c>
      <c r="Q14" s="20" t="n">
        <v>0</v>
      </c>
      <c r="R14" s="20"/>
    </row>
    <row r="15" customFormat="false" ht="15" hidden="false" customHeight="false" outlineLevel="0" collapsed="false">
      <c r="A15" s="17" t="s">
        <v>52</v>
      </c>
      <c r="B15" s="20" t="n">
        <v>1122.981</v>
      </c>
      <c r="C15" s="20" t="n">
        <v>1122</v>
      </c>
      <c r="D15" s="17" t="s">
        <v>48</v>
      </c>
      <c r="E15" s="20" t="n">
        <v>91.03</v>
      </c>
      <c r="F15" s="20" t="n">
        <v>278.97</v>
      </c>
      <c r="G15" s="20" t="n">
        <v>370.66</v>
      </c>
      <c r="H15" s="20" t="n">
        <v>740.66</v>
      </c>
      <c r="I15" s="20" t="n">
        <v>218.67</v>
      </c>
      <c r="J15" s="20" t="n">
        <f aca="false">H15+I15</f>
        <v>959.33</v>
      </c>
      <c r="K15" s="18" t="n">
        <f aca="false">J15/B15</f>
        <v>0.854270909303007</v>
      </c>
      <c r="L15" s="20" t="n">
        <v>3113</v>
      </c>
      <c r="M15" s="20" t="n">
        <v>2584</v>
      </c>
      <c r="N15" s="19" t="n">
        <f aca="false">M15/L15</f>
        <v>0.830067459042724</v>
      </c>
      <c r="O15" s="20" t="n">
        <v>543</v>
      </c>
      <c r="P15" s="20" t="n">
        <v>14</v>
      </c>
      <c r="Q15" s="20" t="n">
        <v>529</v>
      </c>
      <c r="R15" s="20"/>
    </row>
    <row r="16" customFormat="false" ht="15" hidden="false" customHeight="false" outlineLevel="0" collapsed="false">
      <c r="A16" s="17" t="s">
        <v>52</v>
      </c>
      <c r="B16" s="20" t="n">
        <v>1122.981</v>
      </c>
      <c r="C16" s="20" t="n">
        <v>1122</v>
      </c>
      <c r="D16" s="17" t="s">
        <v>49</v>
      </c>
      <c r="E16" s="20" t="n">
        <v>91.03</v>
      </c>
      <c r="F16" s="20" t="n">
        <v>278.97</v>
      </c>
      <c r="G16" s="20" t="n">
        <v>370.66</v>
      </c>
      <c r="H16" s="20" t="n">
        <v>740.66</v>
      </c>
      <c r="I16" s="20" t="n">
        <v>1387.09</v>
      </c>
      <c r="J16" s="20" t="n">
        <f aca="false">H16+I16</f>
        <v>2127.75</v>
      </c>
      <c r="K16" s="18" t="n">
        <f aca="false">J16/B16</f>
        <v>1.89473374883458</v>
      </c>
      <c r="L16" s="17" t="s">
        <v>50</v>
      </c>
      <c r="M16" s="17" t="s">
        <v>50</v>
      </c>
      <c r="N16" s="17" t="s">
        <v>50</v>
      </c>
      <c r="O16" s="17" t="s">
        <v>50</v>
      </c>
      <c r="P16" s="17" t="s">
        <v>50</v>
      </c>
      <c r="Q16" s="17" t="s">
        <v>50</v>
      </c>
      <c r="R16" s="20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4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8" min="6" style="0" width="14"/>
    <col collapsed="false" customWidth="true" hidden="false" outlineLevel="0" max="9" min="9" style="0" width="16"/>
  </cols>
  <sheetData>
    <row r="1" customFormat="false" ht="21.6" hidden="false" customHeight="false" outlineLevel="0" collapsed="false">
      <c r="A1" s="14" t="s">
        <v>53</v>
      </c>
    </row>
    <row r="2" customFormat="false" ht="15" hidden="false" customHeight="false" outlineLevel="0" collapsed="false">
      <c r="A2" s="15" t="s">
        <v>54</v>
      </c>
    </row>
    <row r="4" customFormat="false" ht="32.8" hidden="false" customHeight="false" outlineLevel="0" collapsed="false">
      <c r="A4" s="7" t="s">
        <v>28</v>
      </c>
      <c r="B4" s="16" t="s">
        <v>55</v>
      </c>
      <c r="C4" s="16" t="s">
        <v>56</v>
      </c>
      <c r="D4" s="7" t="s">
        <v>57</v>
      </c>
      <c r="E4" s="7" t="s">
        <v>58</v>
      </c>
      <c r="F4" s="16" t="s">
        <v>59</v>
      </c>
      <c r="G4" s="16" t="s">
        <v>60</v>
      </c>
      <c r="H4" s="7" t="s">
        <v>61</v>
      </c>
      <c r="I4" s="7" t="s">
        <v>62</v>
      </c>
    </row>
    <row r="5" customFormat="false" ht="15" hidden="false" customHeight="false" outlineLevel="0" collapsed="false">
      <c r="A5" s="17" t="s">
        <v>44</v>
      </c>
      <c r="B5" s="19" t="n">
        <f aca="false">SUMIFS(原始數據!$M$5:$M$16,原始數據!$A$5:$A$16,"01.mkv",原始數據!$D$5:$D$16,$A5)/SUMIFS(原始數據!$L$5:$L$16,原始數據!$A$5:$A$16,"01.mkv",原始數據!$D$5:$D$16,$A5)</f>
        <v>0.728378378378378</v>
      </c>
      <c r="C5" s="19" t="n">
        <f aca="false">SUMIFS(原始數據!$M$5:$M$16,原始數據!$A$5:$A$16,"02.mp4",原始數據!$D$5:$D$16,$A5)/SUMIFS(原始數據!$L$5:$L$16,原始數據!$A$5:$A$16,"02.mp4",原始數據!$D$5:$D$16,$A5)</f>
        <v>0.769802900706582</v>
      </c>
      <c r="D5" s="19" t="n">
        <f aca="false">SUMIFS(原始數據!$M$5:$M$16,原始數據!$D$5:$D$16,$A5)/SUMIFS(原始數據!$L$5:$L$16,原始數據!$D$5:$D$16,$A5)</f>
        <v>0.760863225430155</v>
      </c>
      <c r="E5" s="19" t="n">
        <v>0.815</v>
      </c>
      <c r="F5" s="21" t="n">
        <f aca="false">SUMIFS(原始數據!$K$5:$K$16,原始數據!$A$5:$A$16,"01.mkv",原始數據!$D$5:$D$16,$A5)</f>
        <v>0.636674116190664</v>
      </c>
      <c r="G5" s="21" t="n">
        <f aca="false">SUMIFS(原始數據!$K$5:$K$16,原始數據!$A$5:$A$16,"02.mp4",原始數據!$D$5:$D$16,$A5)</f>
        <v>0.679753263857536</v>
      </c>
      <c r="H5" s="21" t="n">
        <f aca="false">AVERAGE(F5:G5)</f>
        <v>0.6582136900241</v>
      </c>
      <c r="I5" s="22" t="n">
        <f aca="false">D5/H5</f>
        <v>1.15595168706123</v>
      </c>
    </row>
    <row r="6" customFormat="false" ht="15" hidden="false" customHeight="false" outlineLevel="0" collapsed="false">
      <c r="A6" s="17" t="s">
        <v>45</v>
      </c>
      <c r="B6" s="19" t="n">
        <f aca="false">SUMIFS(原始數據!$M$5:$M$16,原始數據!$A$5:$A$16,"01.mkv",原始數據!$D$5:$D$16,$A6)/SUMIFS(原始數據!$L$5:$L$16,原始數據!$A$5:$A$16,"01.mkv",原始數據!$D$5:$D$16,$A6)</f>
        <v>0.804670912951168</v>
      </c>
      <c r="C6" s="19" t="n">
        <f aca="false">SUMIFS(原始數據!$M$5:$M$16,原始數據!$A$5:$A$16,"02.mp4",原始數據!$D$5:$D$16,$A6)/SUMIFS(原始數據!$L$5:$L$16,原始數據!$A$5:$A$16,"02.mp4",原始數據!$D$5:$D$16,$A6)</f>
        <v>0.880512514898689</v>
      </c>
      <c r="D6" s="19" t="n">
        <f aca="false">SUMIFS(原始數據!$M$5:$M$16,原始數據!$D$5:$D$16,$A6)/SUMIFS(原始數據!$L$5:$L$16,原始數據!$D$5:$D$16,$A6)</f>
        <v>0.863890181479758</v>
      </c>
      <c r="E6" s="19" t="n">
        <v>0.865</v>
      </c>
      <c r="F6" s="21" t="n">
        <f aca="false">SUMIFS(原始數據!$K$5:$K$16,原始數據!$A$5:$A$16,"01.mkv",原始數據!$D$5:$D$16,$A6)</f>
        <v>0.640713839681862</v>
      </c>
      <c r="G6" s="21" t="n">
        <f aca="false">SUMIFS(原始數據!$K$5:$K$16,原始數據!$A$5:$A$16,"02.mp4",原始數據!$D$5:$D$16,$A6)</f>
        <v>0.693778434363538</v>
      </c>
      <c r="H6" s="21" t="n">
        <f aca="false">AVERAGE(F6:G6)</f>
        <v>0.6672461370227</v>
      </c>
      <c r="I6" s="22" t="n">
        <f aca="false">D6/H6</f>
        <v>1.29470990320678</v>
      </c>
    </row>
    <row r="7" customFormat="false" ht="15" hidden="false" customHeight="false" outlineLevel="0" collapsed="false">
      <c r="A7" s="17" t="s">
        <v>46</v>
      </c>
      <c r="B7" s="19" t="n">
        <f aca="false">SUMIFS(原始數據!$M$5:$M$16,原始數據!$A$5:$A$16,"01.mkv",原始數據!$D$5:$D$16,$A7)/SUMIFS(原始數據!$L$5:$L$16,原始數據!$A$5:$A$16,"01.mkv",原始數據!$D$5:$D$16,$A7)</f>
        <v>0.802481902792141</v>
      </c>
      <c r="C7" s="19" t="n">
        <f aca="false">SUMIFS(原始數據!$M$5:$M$16,原始數據!$A$5:$A$16,"02.mp4",原始數據!$D$5:$D$16,$A7)/SUMIFS(原始數據!$L$5:$L$16,原始數據!$A$5:$A$16,"02.mp4",原始數據!$D$5:$D$16,$A7)</f>
        <v>0.857562408223201</v>
      </c>
      <c r="D7" s="19" t="n">
        <f aca="false">SUMIFS(原始數據!$M$5:$M$16,原始數據!$D$5:$D$16,$A7)/SUMIFS(原始數據!$L$5:$L$16,原始數據!$D$5:$D$16,$A7)</f>
        <v>0.845379688929552</v>
      </c>
      <c r="E7" s="19" t="n">
        <v>0.847</v>
      </c>
      <c r="F7" s="21" t="n">
        <f aca="false">SUMIFS(原始數據!$K$5:$K$16,原始數據!$A$5:$A$16,"01.mkv",原始數據!$D$5:$D$16,$A7)</f>
        <v>0.644315355879099</v>
      </c>
      <c r="G7" s="21" t="n">
        <f aca="false">SUMIFS(原始數據!$K$5:$K$16,原始數據!$A$5:$A$16,"02.mp4",原始數據!$D$5:$D$16,$A7)</f>
        <v>0.694001056117601</v>
      </c>
      <c r="H7" s="21" t="n">
        <f aca="false">AVERAGE(F7:G7)</f>
        <v>0.66915820599835</v>
      </c>
      <c r="I7" s="22" t="n">
        <f aca="false">D7/H7</f>
        <v>1.26334801150393</v>
      </c>
    </row>
    <row r="8" customFormat="false" ht="15" hidden="false" customHeight="false" outlineLevel="0" collapsed="false">
      <c r="A8" s="17" t="s">
        <v>47</v>
      </c>
      <c r="B8" s="19" t="n">
        <f aca="false">SUMIFS(原始數據!$M$5:$M$16,原始數據!$A$5:$A$16,"01.mkv",原始數據!$D$5:$D$16,$A8)/SUMIFS(原始數據!$L$5:$L$16,原始數據!$A$5:$A$16,"01.mkv",原始數據!$D$5:$D$16,$A8)</f>
        <v>0.788439306358382</v>
      </c>
      <c r="C8" s="19" t="n">
        <f aca="false">SUMIFS(原始數據!$M$5:$M$16,原始數據!$A$5:$A$16,"02.mp4",原始數據!$D$5:$D$16,$A8)/SUMIFS(原始數據!$L$5:$L$16,原始數據!$A$5:$A$16,"02.mp4",原始數據!$D$5:$D$16,$A8)</f>
        <v>0.825570189527787</v>
      </c>
      <c r="D8" s="19" t="n">
        <f aca="false">SUMIFS(原始數據!$M$5:$M$16,原始數據!$D$5:$D$16,$A8)/SUMIFS(原始數據!$L$5:$L$16,原始數據!$D$5:$D$16,$A8)</f>
        <v>0.817496229260935</v>
      </c>
      <c r="E8" s="19" t="n">
        <v>0.852</v>
      </c>
      <c r="F8" s="21" t="n">
        <f aca="false">SUMIFS(原始數據!$K$5:$K$16,原始數據!$A$5:$A$16,"01.mkv",原始數據!$D$5:$D$16,$A8)</f>
        <v>0.635647067845444</v>
      </c>
      <c r="G8" s="21" t="n">
        <f aca="false">SUMIFS(原始數據!$K$5:$K$16,原始數據!$A$5:$A$16,"02.mp4",原始數據!$D$5:$D$16,$A8)</f>
        <v>0.686912779468219</v>
      </c>
      <c r="H8" s="21" t="n">
        <f aca="false">AVERAGE(F8:G8)</f>
        <v>0.661279923656832</v>
      </c>
      <c r="I8" s="22" t="n">
        <f aca="false">D8/H8</f>
        <v>1.23623325011931</v>
      </c>
    </row>
    <row r="9" customFormat="false" ht="15" hidden="false" customHeight="false" outlineLevel="0" collapsed="false">
      <c r="A9" s="17" t="s">
        <v>48</v>
      </c>
      <c r="B9" s="19" t="n">
        <f aca="false">SUMIFS(原始數據!$M$5:$M$16,原始數據!$A$5:$A$16,"01.mkv",原始數據!$D$5:$D$16,$A9)/SUMIFS(原始數據!$L$5:$L$16,原始數據!$A$5:$A$16,"01.mkv",原始數據!$D$5:$D$16,$A9)</f>
        <v>0.791907514450867</v>
      </c>
      <c r="C9" s="19" t="n">
        <f aca="false">SUMIFS(原始數據!$M$5:$M$16,原始數據!$A$5:$A$16,"02.mp4",原始數據!$D$5:$D$16,$A9)/SUMIFS(原始數據!$L$5:$L$16,原始數據!$A$5:$A$16,"02.mp4",原始數據!$D$5:$D$16,$A9)</f>
        <v>0.830067459042724</v>
      </c>
      <c r="D9" s="19" t="n">
        <f aca="false">SUMIFS(原始數據!$M$5:$M$16,原始數據!$D$5:$D$16,$A9)/SUMIFS(原始數據!$L$5:$L$16,原始數據!$D$5:$D$16,$A9)</f>
        <v>0.821769733534439</v>
      </c>
      <c r="E9" s="17" t="s">
        <v>63</v>
      </c>
      <c r="F9" s="21" t="n">
        <f aca="false">SUMIFS(原始數據!$K$5:$K$16,原始數據!$A$5:$A$16,"01.mkv",原始數據!$D$5:$D$16,$A9)</f>
        <v>0.718851677786177</v>
      </c>
      <c r="G9" s="21" t="n">
        <f aca="false">SUMIFS(原始數據!$K$5:$K$16,原始數據!$A$5:$A$16,"02.mp4",原始數據!$D$5:$D$16,$A9)</f>
        <v>0.854270909303007</v>
      </c>
      <c r="H9" s="21" t="n">
        <f aca="false">AVERAGE(F9:G9)</f>
        <v>0.786561293544592</v>
      </c>
      <c r="I9" s="22" t="n">
        <f aca="false">D9/H9</f>
        <v>1.04476248739775</v>
      </c>
    </row>
    <row r="10" customFormat="false" ht="15" hidden="false" customHeight="false" outlineLevel="0" collapsed="false">
      <c r="A10" s="23" t="s">
        <v>64</v>
      </c>
      <c r="B10" s="24" t="s">
        <v>65</v>
      </c>
      <c r="C10" s="24"/>
      <c r="D10" s="24"/>
      <c r="E10" s="24"/>
      <c r="F10" s="24"/>
      <c r="G10" s="24"/>
      <c r="H10" s="24"/>
      <c r="I10" s="24"/>
    </row>
  </sheetData>
  <mergeCells count="1">
    <mergeCell ref="B10:I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6" min="5" style="0" width="16"/>
    <col collapsed="false" customWidth="true" hidden="false" outlineLevel="0" max="7" min="7" style="0" width="14"/>
    <col collapsed="false" customWidth="true" hidden="false" outlineLevel="0" max="8" min="8" style="0" width="15"/>
    <col collapsed="false" customWidth="true" hidden="false" outlineLevel="0" max="9" min="9" style="0" width="22"/>
    <col collapsed="false" customWidth="true" hidden="false" outlineLevel="0" max="10" min="10" style="0" width="16"/>
    <col collapsed="false" customWidth="true" hidden="false" outlineLevel="0" max="11" min="11" style="0" width="22"/>
  </cols>
  <sheetData>
    <row r="1" customFormat="false" ht="21.6" hidden="false" customHeight="false" outlineLevel="0" collapsed="false">
      <c r="A1" s="14" t="s">
        <v>66</v>
      </c>
    </row>
    <row r="3" customFormat="false" ht="15" hidden="false" customHeight="false" outlineLevel="0" collapsed="false">
      <c r="A3" s="25" t="s">
        <v>67</v>
      </c>
    </row>
    <row r="4" customFormat="false" ht="29.85" hidden="false" customHeight="false" outlineLevel="0" collapsed="false">
      <c r="A4" s="7" t="s">
        <v>25</v>
      </c>
      <c r="B4" s="7" t="s">
        <v>26</v>
      </c>
      <c r="C4" s="7" t="s">
        <v>68</v>
      </c>
      <c r="D4" s="7" t="s">
        <v>69</v>
      </c>
      <c r="E4" s="7" t="s">
        <v>70</v>
      </c>
      <c r="F4" s="7" t="s">
        <v>71</v>
      </c>
    </row>
    <row r="5" customFormat="false" ht="15" hidden="false" customHeight="false" outlineLevel="0" collapsed="false">
      <c r="A5" s="17" t="s">
        <v>43</v>
      </c>
      <c r="B5" s="20" t="n">
        <v>730.248</v>
      </c>
      <c r="C5" s="20" t="n">
        <v>311.5</v>
      </c>
      <c r="D5" s="22" t="n">
        <f aca="false">C5/B5</f>
        <v>0.426567412714585</v>
      </c>
      <c r="E5" s="26" t="s">
        <v>72</v>
      </c>
      <c r="F5" s="17" t="s">
        <v>73</v>
      </c>
    </row>
    <row r="6" customFormat="false" ht="15" hidden="false" customHeight="false" outlineLevel="0" collapsed="false">
      <c r="A6" s="17" t="s">
        <v>52</v>
      </c>
      <c r="B6" s="20" t="n">
        <v>1122.981</v>
      </c>
      <c r="C6" s="20" t="n">
        <v>1387.09</v>
      </c>
      <c r="D6" s="22" t="n">
        <f aca="false">C6/B6</f>
        <v>1.23518563537584</v>
      </c>
      <c r="E6" s="26" t="s">
        <v>72</v>
      </c>
      <c r="F6" s="17" t="s">
        <v>73</v>
      </c>
    </row>
    <row r="8" customFormat="false" ht="15" hidden="false" customHeight="true" outlineLevel="0" collapsed="false">
      <c r="A8" s="13" t="s">
        <v>74</v>
      </c>
      <c r="B8" s="13"/>
      <c r="C8" s="13"/>
      <c r="D8" s="13"/>
      <c r="E8" s="13"/>
      <c r="F8" s="13"/>
    </row>
    <row r="9" customFormat="false" ht="15" hidden="false" customHeight="false" outlineLevel="0" collapsed="false">
      <c r="A9" s="13"/>
      <c r="B9" s="13"/>
      <c r="C9" s="13"/>
      <c r="D9" s="13"/>
      <c r="E9" s="13"/>
      <c r="F9" s="13"/>
    </row>
    <row r="10" customFormat="false" ht="15" hidden="false" customHeight="false" outlineLevel="0" collapsed="false">
      <c r="A10" s="13"/>
      <c r="B10" s="13"/>
      <c r="C10" s="13"/>
      <c r="D10" s="13"/>
      <c r="E10" s="13"/>
      <c r="F10" s="13"/>
    </row>
    <row r="11" customFormat="false" ht="15" hidden="false" customHeight="false" outlineLevel="0" collapsed="false">
      <c r="A11" s="13"/>
      <c r="B11" s="13"/>
      <c r="C11" s="13"/>
      <c r="D11" s="13"/>
      <c r="E11" s="13"/>
      <c r="F11" s="13"/>
    </row>
    <row r="13" customFormat="false" ht="15" hidden="false" customHeight="false" outlineLevel="0" collapsed="false">
      <c r="A13" s="25" t="s">
        <v>75</v>
      </c>
    </row>
    <row r="14" customFormat="false" ht="15" hidden="false" customHeight="true" outlineLevel="0" collapsed="false">
      <c r="A14" s="13" t="s">
        <v>76</v>
      </c>
      <c r="B14" s="13"/>
      <c r="C14" s="13"/>
      <c r="D14" s="13"/>
      <c r="E14" s="13"/>
      <c r="F14" s="13"/>
    </row>
    <row r="15" customFormat="false" ht="15" hidden="false" customHeight="false" outlineLevel="0" collapsed="false">
      <c r="A15" s="13"/>
      <c r="B15" s="13"/>
      <c r="C15" s="13"/>
      <c r="D15" s="13"/>
      <c r="E15" s="13"/>
      <c r="F15" s="13"/>
    </row>
    <row r="16" customFormat="false" ht="15" hidden="false" customHeight="false" outlineLevel="0" collapsed="false">
      <c r="A16" s="13"/>
      <c r="B16" s="13"/>
      <c r="C16" s="13"/>
      <c r="D16" s="13"/>
      <c r="E16" s="13"/>
      <c r="F16" s="13"/>
    </row>
    <row r="18" customFormat="false" ht="15" hidden="false" customHeight="false" outlineLevel="0" collapsed="false">
      <c r="A18" s="25" t="s">
        <v>77</v>
      </c>
    </row>
    <row r="19" customFormat="false" ht="32.8" hidden="false" customHeight="false" outlineLevel="0" collapsed="false">
      <c r="A19" s="7" t="s">
        <v>25</v>
      </c>
      <c r="B19" s="16" t="s">
        <v>78</v>
      </c>
      <c r="C19" s="7" t="s">
        <v>79</v>
      </c>
      <c r="D19" s="7" t="s">
        <v>80</v>
      </c>
      <c r="E19" s="16" t="s">
        <v>81</v>
      </c>
      <c r="F19" s="16" t="s">
        <v>82</v>
      </c>
      <c r="G19" s="16" t="s">
        <v>83</v>
      </c>
      <c r="H19" s="16" t="s">
        <v>84</v>
      </c>
      <c r="I19" s="16" t="s">
        <v>85</v>
      </c>
      <c r="J19" s="7" t="s">
        <v>86</v>
      </c>
      <c r="K19" s="16" t="s">
        <v>87</v>
      </c>
    </row>
    <row r="20" customFormat="false" ht="15" hidden="false" customHeight="false" outlineLevel="0" collapsed="false">
      <c r="A20" s="17" t="s">
        <v>43</v>
      </c>
      <c r="B20" s="20" t="n">
        <f aca="false">SUMIFS(原始數據!$P$5:$P$16,原始數據!$A$5:$A$16,A20,原始數據!$D$5:$D$16,"Channel3")+SUMIFS(原始數據!$Q$5:$Q$16,原始數據!$A$5:$A$16,A20,原始數據!$D$5:$D$16,"Channel3")</f>
        <v>183</v>
      </c>
      <c r="C20" s="20" t="n">
        <f aca="false">SUMIFS(原始數據!$P$5:$P$16,原始數據!$A$5:$A$16,A20,原始數據!$D$5:$D$16,"Channel3")</f>
        <v>3</v>
      </c>
      <c r="D20" s="19" t="n">
        <f aca="false">C20/B20</f>
        <v>0.0163934426229508</v>
      </c>
      <c r="E20" s="20" t="n">
        <v>60.3755881786346</v>
      </c>
      <c r="F20" s="20" t="n">
        <f aca="false">SUMIFS(原始數據!$I$5:$I$16,原始數據!$A$5:$A$16,A20,原始數據!$D$5:$D$16,"Channel3")</f>
        <v>69.24</v>
      </c>
      <c r="G20" s="18" t="n">
        <f aca="false">E20/F20</f>
        <v>0.871975565838166</v>
      </c>
      <c r="H20" s="19" t="n">
        <f aca="false">SUMIFS(原始數據!$M$5:$M$16,原始數據!$A$5:$A$16,A20,原始數據!$D$5:$D$16,"Channel3")/SUMIFS(原始數據!$L$5:$L$16,原始數據!$A$5:$A$16,A20,原始數據!$D$5:$D$16,"Channel3")</f>
        <v>0.791907514450867</v>
      </c>
      <c r="I20" s="19" t="n">
        <f aca="false">SUMIFS(原始數據!$M$5:$M$16,原始數據!$A$5:$A$16,A20,原始數據!$D$5:$D$16,"Channel1-Mecab")/SUMIFS(原始數據!$L$5:$L$16,原始數據!$A$5:$A$16,A20,原始數據!$D$5:$D$16,"Channel1-Mecab")</f>
        <v>0.788439306358382</v>
      </c>
      <c r="J20" s="19" t="n">
        <f aca="false">H20-I20</f>
        <v>0.00346820809248549</v>
      </c>
      <c r="K20" s="19" t="n">
        <f aca="false">SUMIFS(原始數據!$M$5:$M$16,原始數據!$A$5:$A$16,A20,原始數據!$D$5:$D$16,"Channel1-Komoran")/SUMIFS(原始數據!$L$5:$L$16,原始數據!$A$5:$A$16,A20,原始數據!$D$5:$D$16,"Channel1-Komoran")</f>
        <v>0.804670912951168</v>
      </c>
    </row>
    <row r="21" customFormat="false" ht="15" hidden="false" customHeight="false" outlineLevel="0" collapsed="false">
      <c r="A21" s="17" t="s">
        <v>52</v>
      </c>
      <c r="B21" s="20" t="n">
        <f aca="false">SUMIFS(原始數據!$P$5:$P$16,原始數據!$A$5:$A$16,A21,原始數據!$D$5:$D$16,"Channel3")+SUMIFS(原始數據!$Q$5:$Q$16,原始數據!$A$5:$A$16,A21,原始數據!$D$5:$D$16,"Channel3")</f>
        <v>543</v>
      </c>
      <c r="C21" s="20" t="n">
        <f aca="false">SUMIFS(原始數據!$P$5:$P$16,原始數據!$A$5:$A$16,A21,原始數據!$D$5:$D$16,"Channel3")</f>
        <v>14</v>
      </c>
      <c r="D21" s="19" t="n">
        <f aca="false">C21/B21</f>
        <v>0.0257826887661142</v>
      </c>
      <c r="E21" s="20" t="n">
        <v>186.269579172134</v>
      </c>
      <c r="F21" s="20" t="n">
        <f aca="false">SUMIFS(原始數據!$I$5:$I$16,原始數據!$A$5:$A$16,A21,原始數據!$D$5:$D$16,"Channel3")</f>
        <v>218.67</v>
      </c>
      <c r="G21" s="18" t="n">
        <f aca="false">E21/F21</f>
        <v>0.851829602470089</v>
      </c>
      <c r="H21" s="19" t="n">
        <f aca="false">SUMIFS(原始數據!$M$5:$M$16,原始數據!$A$5:$A$16,A21,原始數據!$D$5:$D$16,"Channel3")/SUMIFS(原始數據!$L$5:$L$16,原始數據!$A$5:$A$16,A21,原始數據!$D$5:$D$16,"Channel3")</f>
        <v>0.830067459042724</v>
      </c>
      <c r="I21" s="19" t="n">
        <f aca="false">SUMIFS(原始數據!$M$5:$M$16,原始數據!$A$5:$A$16,A21,原始數據!$D$5:$D$16,"Channel1-Mecab")/SUMIFS(原始數據!$L$5:$L$16,原始數據!$A$5:$A$16,A21,原始數據!$D$5:$D$16,"Channel1-Mecab")</f>
        <v>0.825570189527787</v>
      </c>
      <c r="J21" s="19" t="n">
        <f aca="false">H21-I21</f>
        <v>0.00449726951493734</v>
      </c>
      <c r="K21" s="19" t="n">
        <f aca="false">SUMIFS(原始數據!$M$5:$M$16,原始數據!$A$5:$A$16,A21,原始數據!$D$5:$D$16,"Channel1-Komoran")/SUMIFS(原始數據!$L$5:$L$16,原始數據!$A$5:$A$16,A21,原始數據!$D$5:$D$16,"Channel1-Komoran")</f>
        <v>0.880512514898689</v>
      </c>
    </row>
    <row r="23" customFormat="false" ht="15" hidden="false" customHeight="true" outlineLevel="0" collapsed="false">
      <c r="A23" s="13" t="s">
        <v>88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</row>
    <row r="24" customFormat="false" ht="15" hidden="false" customHeight="false" outlineLevel="0" collapsed="false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</row>
    <row r="25" customFormat="false" ht="15" hidden="false" customHeight="false" outlineLevel="0" collapsed="false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</row>
  </sheetData>
  <mergeCells count="3">
    <mergeCell ref="A8:F11"/>
    <mergeCell ref="A14:F16"/>
    <mergeCell ref="A23:K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9" min="2" style="0" width="24"/>
  </cols>
  <sheetData>
    <row r="1" customFormat="false" ht="21.6" hidden="false" customHeight="false" outlineLevel="0" collapsed="false">
      <c r="A1" s="14" t="s">
        <v>89</v>
      </c>
    </row>
    <row r="2" customFormat="false" ht="15" hidden="false" customHeight="false" outlineLevel="0" collapsed="false">
      <c r="A2" s="15" t="s">
        <v>90</v>
      </c>
    </row>
    <row r="4" customFormat="false" ht="15" hidden="false" customHeight="false" outlineLevel="0" collapsed="false">
      <c r="A4" s="25" t="s">
        <v>91</v>
      </c>
    </row>
    <row r="5" customFormat="false" ht="17.15" hidden="false" customHeight="false" outlineLevel="0" collapsed="false">
      <c r="A5" s="7" t="s">
        <v>6</v>
      </c>
      <c r="B5" s="16" t="s">
        <v>92</v>
      </c>
      <c r="C5" s="16" t="s">
        <v>93</v>
      </c>
      <c r="D5" s="7" t="s">
        <v>94</v>
      </c>
    </row>
    <row r="6" customFormat="false" ht="15" hidden="false" customHeight="false" outlineLevel="0" collapsed="false">
      <c r="A6" s="20" t="s">
        <v>95</v>
      </c>
      <c r="B6" s="20" t="n">
        <v>3326</v>
      </c>
      <c r="C6" s="20" t="n">
        <v>3347</v>
      </c>
      <c r="D6" s="20" t="n">
        <f aca="false">C6-B6</f>
        <v>21</v>
      </c>
    </row>
    <row r="7" customFormat="false" ht="15" hidden="false" customHeight="false" outlineLevel="0" collapsed="false">
      <c r="A7" s="20" t="s">
        <v>96</v>
      </c>
      <c r="B7" s="19" t="n">
        <v>0.87</v>
      </c>
      <c r="C7" s="19" t="n">
        <v>0.853</v>
      </c>
      <c r="D7" s="19" t="n">
        <f aca="false">C7-B7</f>
        <v>-0.017</v>
      </c>
    </row>
    <row r="8" customFormat="false" ht="15" hidden="false" customHeight="false" outlineLevel="0" collapsed="false">
      <c r="A8" s="20" t="s">
        <v>97</v>
      </c>
      <c r="B8" s="19" t="n">
        <v>0.0857</v>
      </c>
      <c r="C8" s="19" t="n">
        <v>0.0813</v>
      </c>
      <c r="D8" s="19" t="n">
        <f aca="false">C8-B8</f>
        <v>-0.0044</v>
      </c>
    </row>
    <row r="9" customFormat="false" ht="15" hidden="false" customHeight="false" outlineLevel="0" collapsed="false">
      <c r="A9" s="17" t="s">
        <v>98</v>
      </c>
      <c r="B9" s="20" t="n">
        <v>77</v>
      </c>
      <c r="C9" s="20" t="n">
        <v>116</v>
      </c>
      <c r="D9" s="20" t="n">
        <f aca="false">C9-B9</f>
        <v>39</v>
      </c>
    </row>
    <row r="10" customFormat="false" ht="15" hidden="false" customHeight="false" outlineLevel="0" collapsed="false">
      <c r="A10" s="17" t="s">
        <v>99</v>
      </c>
      <c r="B10" s="20" t="n">
        <v>122.82</v>
      </c>
      <c r="C10" s="20" t="n">
        <v>11.85</v>
      </c>
      <c r="D10" s="20" t="n">
        <f aca="false">C10-B10</f>
        <v>-110.97</v>
      </c>
    </row>
    <row r="12" customFormat="false" ht="15" hidden="false" customHeight="true" outlineLevel="0" collapsed="false">
      <c r="A12" s="13" t="s">
        <v>100</v>
      </c>
      <c r="B12" s="13"/>
      <c r="C12" s="13"/>
      <c r="D12" s="13"/>
    </row>
    <row r="13" customFormat="false" ht="15" hidden="false" customHeight="false" outlineLevel="0" collapsed="false">
      <c r="A13" s="13"/>
      <c r="B13" s="13"/>
      <c r="C13" s="13"/>
      <c r="D13" s="13"/>
    </row>
    <row r="14" customFormat="false" ht="15" hidden="false" customHeight="false" outlineLevel="0" collapsed="false">
      <c r="A14" s="13"/>
      <c r="B14" s="13"/>
      <c r="C14" s="13"/>
      <c r="D14" s="13"/>
    </row>
    <row r="15" customFormat="false" ht="15" hidden="false" customHeight="false" outlineLevel="0" collapsed="false">
      <c r="A15" s="25" t="s">
        <v>101</v>
      </c>
    </row>
    <row r="16" customFormat="false" ht="32.8" hidden="false" customHeight="false" outlineLevel="0" collapsed="false">
      <c r="A16" s="7" t="s">
        <v>25</v>
      </c>
      <c r="B16" s="7" t="s">
        <v>27</v>
      </c>
      <c r="C16" s="16" t="s">
        <v>102</v>
      </c>
      <c r="D16" s="16" t="s">
        <v>103</v>
      </c>
      <c r="E16" s="7" t="s">
        <v>104</v>
      </c>
      <c r="F16" s="16" t="s">
        <v>105</v>
      </c>
      <c r="G16" s="16" t="s">
        <v>106</v>
      </c>
      <c r="H16" s="16" t="s">
        <v>107</v>
      </c>
      <c r="I16" s="16" t="s">
        <v>108</v>
      </c>
    </row>
    <row r="17" customFormat="false" ht="15" hidden="false" customHeight="false" outlineLevel="0" collapsed="false">
      <c r="A17" s="17" t="s">
        <v>43</v>
      </c>
      <c r="B17" s="20" t="n">
        <f aca="false">AVERAGEIFS(原始數據!$C$5:$C$16,原始數據!$A$5:$A$16,A17)</f>
        <v>731</v>
      </c>
      <c r="C17" s="20" t="n">
        <f aca="false">AVERAGEIFS(原始數據!$F$5:$F$16,原始數據!$A$5:$A$16,A17)</f>
        <v>145.36</v>
      </c>
      <c r="D17" s="20" t="n">
        <f aca="false">B17*(C10/619)</f>
        <v>13.9941033925687</v>
      </c>
      <c r="E17" s="20" t="n">
        <f aca="false">C17-D17</f>
        <v>131.365896607431</v>
      </c>
      <c r="F17" s="20" t="n">
        <f aca="false">SUMIFS(原始數據!$J$5:$J$16,原始數據!$A$5:$A$16,A17,原始數據!$D$5:$D$16,"Channel1-Komoran")</f>
        <v>467.88</v>
      </c>
      <c r="G17" s="20" t="n">
        <f aca="false">F17-E17</f>
        <v>336.514103392569</v>
      </c>
      <c r="H17" s="19" t="n">
        <f aca="false">SUMIFS(原始數據!$K$5:$K$16,原始數據!$A$5:$A$16,A17,原始數據!$D$5:$D$16,"Channel1-Komoran")</f>
        <v>0.640713839681862</v>
      </c>
      <c r="I17" s="19" t="n">
        <f aca="false">G17/AVERAGEIFS(原始數據!$B$5:$B$16,原始數據!$A$5:$A$16,A17)</f>
        <v>0.460821670709908</v>
      </c>
    </row>
    <row r="18" customFormat="false" ht="15" hidden="false" customHeight="false" outlineLevel="0" collapsed="false">
      <c r="A18" s="17" t="s">
        <v>52</v>
      </c>
      <c r="B18" s="20" t="n">
        <f aca="false">AVERAGEIFS(原始數據!$C$5:$C$16,原始數據!$A$5:$A$16,A18)</f>
        <v>1122</v>
      </c>
      <c r="C18" s="20" t="n">
        <f aca="false">AVERAGEIFS(原始數據!$F$5:$F$16,原始數據!$A$5:$A$16,A18)</f>
        <v>278.97</v>
      </c>
      <c r="D18" s="20" t="n">
        <f aca="false">B18*(C10/619)</f>
        <v>21.4793214862682</v>
      </c>
      <c r="E18" s="20" t="n">
        <f aca="false">C18-D18</f>
        <v>257.490678513732</v>
      </c>
      <c r="F18" s="20" t="n">
        <f aca="false">SUMIFS(原始數據!$J$5:$J$16,原始數據!$A$5:$A$16,A18,原始數據!$D$5:$D$16,"Channel1-Komoran")</f>
        <v>779.1</v>
      </c>
      <c r="G18" s="20" t="n">
        <f aca="false">F18-E18</f>
        <v>521.609321486268</v>
      </c>
      <c r="H18" s="19" t="n">
        <f aca="false">SUMIFS(原始數據!$K$5:$K$16,原始數據!$A$5:$A$16,A18,原始數據!$D$5:$D$16,"Channel1-Komoran")</f>
        <v>0.693778434363538</v>
      </c>
      <c r="I18" s="19" t="n">
        <f aca="false">G18/AVERAGEIFS(原始數據!$B$5:$B$16,原始數據!$A$5:$A$16,A18)</f>
        <v>0.464486328340612</v>
      </c>
    </row>
    <row r="20" customFormat="false" ht="15" hidden="false" customHeight="true" outlineLevel="0" collapsed="false">
      <c r="A20" s="13" t="s">
        <v>109</v>
      </c>
      <c r="B20" s="13"/>
      <c r="C20" s="13"/>
      <c r="D20" s="13"/>
      <c r="E20" s="13"/>
      <c r="F20" s="13"/>
      <c r="G20" s="13"/>
      <c r="H20" s="13"/>
      <c r="I20" s="13"/>
    </row>
    <row r="21" customFormat="false" ht="15" hidden="false" customHeight="false" outlineLevel="0" collapsed="false">
      <c r="A21" s="13"/>
      <c r="B21" s="13"/>
      <c r="C21" s="13"/>
      <c r="D21" s="13"/>
      <c r="E21" s="13"/>
      <c r="F21" s="13"/>
      <c r="G21" s="13"/>
      <c r="H21" s="13"/>
      <c r="I21" s="13"/>
    </row>
    <row r="22" customFormat="false" ht="15" hidden="false" customHeight="false" outlineLevel="0" collapsed="false">
      <c r="A22" s="13"/>
      <c r="B22" s="13"/>
      <c r="C22" s="13"/>
      <c r="D22" s="13"/>
      <c r="E22" s="13"/>
      <c r="F22" s="13"/>
      <c r="G22" s="13"/>
      <c r="H22" s="13"/>
      <c r="I22" s="13"/>
    </row>
    <row r="23" customFormat="false" ht="15" hidden="false" customHeight="false" outlineLevel="0" collapsed="false">
      <c r="A23" s="25" t="s">
        <v>110</v>
      </c>
    </row>
    <row r="24" customFormat="false" ht="15" hidden="false" customHeight="false" outlineLevel="0" collapsed="false">
      <c r="A24" s="20" t="s">
        <v>111</v>
      </c>
      <c r="B24" s="27" t="n">
        <v>0.15</v>
      </c>
    </row>
    <row r="25" customFormat="false" ht="15" hidden="false" customHeight="false" outlineLevel="0" collapsed="false">
      <c r="A25" s="20" t="s">
        <v>112</v>
      </c>
      <c r="B25" s="19" t="n">
        <f aca="false">ABS(D7)/B7</f>
        <v>0.0195402298850575</v>
      </c>
    </row>
    <row r="26" customFormat="false" ht="15" hidden="false" customHeight="false" outlineLevel="0" collapsed="false">
      <c r="A26" s="20" t="s">
        <v>113</v>
      </c>
      <c r="B26" s="20" t="str">
        <f aca="false">IF(B25&gt;=B24,"是，denoise on 有意義","否，未達門檻，建議 denoise off")</f>
        <v>否，未達門檻，建議 denoise off</v>
      </c>
    </row>
  </sheetData>
  <mergeCells count="2">
    <mergeCell ref="A12:D14"/>
    <mergeCell ref="A20:I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2026-08-15T05:13:41Z</dcterms:created>
  <dc:creator>openpyxl</dc:creator>
  <dc:description/>
  <dc:language>en-US</dc:language>
  <cp:lastModifiedBy/>
  <dcterms:modified xsi:type="dcterms:W3CDTF">2026-08-15T13:20:54Z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