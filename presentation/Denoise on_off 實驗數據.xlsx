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KJ\Desktop\"/>
    </mc:Choice>
  </mc:AlternateContent>
  <bookViews>
    <workbookView xWindow="0" yWindow="0" windowWidth="30720" windowHeight="13452"/>
  </bookViews>
  <sheets>
    <sheet name="Denoise開關評估" sheetId="1" r:id="rId1"/>
  </sheets>
  <externalReferences>
    <externalReference r:id="rId2"/>
  </externalReferenc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C22" i="1"/>
  <c r="B22" i="1"/>
  <c r="A22" i="1"/>
  <c r="C21" i="1"/>
  <c r="B21" i="1"/>
  <c r="D21" i="1" s="1"/>
  <c r="A21" i="1"/>
  <c r="D12" i="1"/>
  <c r="D11" i="1"/>
  <c r="D10" i="1"/>
  <c r="D9" i="1"/>
  <c r="D8" i="1"/>
  <c r="D7" i="1"/>
  <c r="D6" i="1"/>
</calcChain>
</file>

<file path=xl/comments1.xml><?xml version="1.0" encoding="utf-8"?>
<comments xmlns="http://schemas.openxmlformats.org/spreadsheetml/2006/main">
  <authors>
    <author>Claude</author>
  </authors>
  <commentList>
    <comment ref="B6" authorId="0" shapeId="0">
      <text>
        <r>
          <rPr>
            <sz val="10"/>
            <rFont val="Noto Sans CJK SC"/>
            <family val="2"/>
          </rPr>
          <t>來源：</t>
        </r>
        <r>
          <rPr>
            <sz val="10"/>
            <rFont val="Arial"/>
            <family val="2"/>
          </rPr>
          <t>PROJECT_NOTES.md §12</t>
        </r>
        <r>
          <rPr>
            <sz val="10"/>
            <rFont val="Noto Sans CJK SC"/>
            <family val="2"/>
          </rPr>
          <t>（</t>
        </r>
        <r>
          <rPr>
            <sz val="10"/>
            <rFont val="Arial"/>
            <family val="2"/>
          </rPr>
          <t>001.mkv</t>
        </r>
        <r>
          <rPr>
            <sz val="10"/>
            <rFont val="Noto Sans CJK SC"/>
            <family val="2"/>
          </rPr>
          <t>，</t>
        </r>
        <r>
          <rPr>
            <sz val="10"/>
            <rFont val="Arial"/>
            <family val="2"/>
          </rPr>
          <t>619</t>
        </r>
        <r>
          <rPr>
            <sz val="10"/>
            <rFont val="Noto Sans CJK SC"/>
            <family val="2"/>
          </rPr>
          <t>影格，使用者本機</t>
        </r>
        <r>
          <rPr>
            <sz val="10"/>
            <rFont val="Arial"/>
            <family val="2"/>
          </rPr>
          <t>RTX 4060</t>
        </r>
        <r>
          <rPr>
            <sz val="10"/>
            <rFont val="Noto Sans CJK SC"/>
            <family val="2"/>
          </rPr>
          <t>真實執行）</t>
        </r>
      </text>
    </comment>
  </commentList>
</comments>
</file>

<file path=xl/sharedStrings.xml><?xml version="1.0" encoding="utf-8"?>
<sst xmlns="http://schemas.openxmlformats.org/spreadsheetml/2006/main" count="33" uniqueCount="33">
  <si>
    <r>
      <rPr>
        <b/>
        <sz val="14"/>
        <color rgb="FF1F4E78"/>
        <rFont val="Arial"/>
        <family val="2"/>
      </rPr>
      <t>Denoise</t>
    </r>
    <r>
      <rPr>
        <b/>
        <sz val="14"/>
        <color rgb="FF1F4E78"/>
        <rFont val="Noto Sans CJK SC"/>
        <family val="2"/>
      </rPr>
      <t>（去雜訊）開關最終評估</t>
    </r>
  </si>
  <si>
    <r>
      <rPr>
        <i/>
        <sz val="9"/>
        <color rgb="FF666666"/>
        <rFont val="Noto Sans CJK SC"/>
        <family val="2"/>
      </rPr>
      <t xml:space="preserve">決策規則（使用者於 </t>
    </r>
    <r>
      <rPr>
        <i/>
        <sz val="9"/>
        <color rgb="FF666666"/>
        <rFont val="Arial"/>
        <family val="2"/>
      </rPr>
      <t xml:space="preserve">Phase 2 </t>
    </r>
    <r>
      <rPr>
        <i/>
        <sz val="9"/>
        <color rgb="FF666666"/>
        <rFont val="Noto Sans CJK SC"/>
        <family val="2"/>
      </rPr>
      <t>訂下，</t>
    </r>
    <r>
      <rPr>
        <i/>
        <sz val="9"/>
        <color rgb="FF666666"/>
        <rFont val="Arial"/>
        <family val="2"/>
      </rPr>
      <t xml:space="preserve">PROJECT_NOTES.md §8 </t>
    </r>
    <r>
      <rPr>
        <i/>
        <sz val="9"/>
        <color rgb="FF666666"/>
        <rFont val="Noto Sans CJK SC"/>
        <family val="2"/>
      </rPr>
      <t xml:space="preserve">第 </t>
    </r>
    <r>
      <rPr>
        <i/>
        <sz val="9"/>
        <color rgb="FF666666"/>
        <rFont val="Arial"/>
        <family val="2"/>
      </rPr>
      <t xml:space="preserve">3 </t>
    </r>
    <r>
      <rPr>
        <i/>
        <sz val="9"/>
        <color rgb="FF666666"/>
        <rFont val="Noto Sans CJK SC"/>
        <family val="2"/>
      </rPr>
      <t xml:space="preserve">點）：若去雜訊對辨識率的提升低於 </t>
    </r>
    <r>
      <rPr>
        <i/>
        <sz val="9"/>
        <color rgb="FF666666"/>
        <rFont val="Arial"/>
        <family val="2"/>
      </rPr>
      <t>15%</t>
    </r>
    <r>
      <rPr>
        <i/>
        <sz val="9"/>
        <color rgb="FF666666"/>
        <rFont val="Noto Sans CJK SC"/>
        <family val="2"/>
      </rPr>
      <t>，之後就預設關閉。</t>
    </r>
  </si>
  <si>
    <r>
      <rPr>
        <b/>
        <sz val="10"/>
        <rFont val="Noto Sans CJK SC"/>
        <family val="2"/>
      </rPr>
      <t xml:space="preserve">一、真實 </t>
    </r>
    <r>
      <rPr>
        <b/>
        <sz val="10"/>
        <rFont val="Arial"/>
        <family val="2"/>
      </rPr>
      <t xml:space="preserve">A/B </t>
    </r>
    <r>
      <rPr>
        <b/>
        <sz val="10"/>
        <rFont val="Noto Sans CJK SC"/>
        <family val="2"/>
      </rPr>
      <t>測試依據（</t>
    </r>
    <r>
      <rPr>
        <b/>
        <sz val="10"/>
        <rFont val="Arial"/>
        <family val="2"/>
      </rPr>
      <t>001.mkv</t>
    </r>
    <r>
      <rPr>
        <b/>
        <sz val="10"/>
        <rFont val="Noto Sans CJK SC"/>
        <family val="2"/>
      </rPr>
      <t>，</t>
    </r>
    <r>
      <rPr>
        <b/>
        <sz val="10"/>
        <rFont val="Arial"/>
        <family val="2"/>
      </rPr>
      <t xml:space="preserve">619 </t>
    </r>
    <r>
      <rPr>
        <b/>
        <sz val="10"/>
        <rFont val="Noto Sans CJK SC"/>
        <family val="2"/>
      </rPr>
      <t>影格，</t>
    </r>
    <r>
      <rPr>
        <b/>
        <sz val="10"/>
        <rFont val="Arial"/>
        <family val="2"/>
      </rPr>
      <t>2026-07-25</t>
    </r>
    <r>
      <rPr>
        <b/>
        <sz val="10"/>
        <rFont val="Noto Sans CJK SC"/>
        <family val="2"/>
      </rPr>
      <t xml:space="preserve">，真實 </t>
    </r>
    <r>
      <rPr>
        <b/>
        <sz val="10"/>
        <rFont val="Arial"/>
        <family val="2"/>
      </rPr>
      <t>GPU</t>
    </r>
    <r>
      <rPr>
        <b/>
        <sz val="10"/>
        <rFont val="Noto Sans CJK SC"/>
        <family val="2"/>
      </rPr>
      <t>，</t>
    </r>
    <r>
      <rPr>
        <b/>
        <sz val="10"/>
        <rFont val="Arial"/>
        <family val="2"/>
      </rPr>
      <t>PROJECT_NOTES.md §12</t>
    </r>
    <r>
      <rPr>
        <b/>
        <sz val="10"/>
        <rFont val="Noto Sans CJK SC"/>
        <family val="2"/>
      </rPr>
      <t>）</t>
    </r>
  </si>
  <si>
    <t>項目</t>
  </si>
  <si>
    <t>denoise_on</t>
  </si>
  <si>
    <t>denoise_off</t>
  </si>
  <si>
    <t>差異</t>
  </si>
  <si>
    <t>說明</t>
  </si>
  <si>
    <t>偵測數量</t>
  </si>
  <si>
    <r>
      <rPr>
        <i/>
        <sz val="9"/>
        <color rgb="FF808080"/>
        <rFont val="Arial"/>
        <family val="2"/>
      </rPr>
      <t xml:space="preserve">off </t>
    </r>
    <r>
      <rPr>
        <i/>
        <sz val="9"/>
        <color rgb="FF808080"/>
        <rFont val="Noto Sans CJK SC"/>
        <family val="2"/>
      </rPr>
      <t xml:space="preserve">多偵測到 </t>
    </r>
    <r>
      <rPr>
        <i/>
        <sz val="9"/>
        <color rgb="FF808080"/>
        <rFont val="Arial"/>
        <family val="2"/>
      </rPr>
      <t>0.6%</t>
    </r>
  </si>
  <si>
    <t>平均信心分數</t>
  </si>
  <si>
    <r>
      <rPr>
        <i/>
        <sz val="9"/>
        <color rgb="FF808080"/>
        <rFont val="Arial"/>
        <family val="2"/>
      </rPr>
      <t xml:space="preserve">on </t>
    </r>
    <r>
      <rPr>
        <i/>
        <sz val="9"/>
        <color rgb="FF808080"/>
        <rFont val="Noto Sans CJK SC"/>
        <family val="2"/>
      </rPr>
      <t xml:space="preserve">只比 </t>
    </r>
    <r>
      <rPr>
        <i/>
        <sz val="9"/>
        <color rgb="FF808080"/>
        <rFont val="Arial"/>
        <family val="2"/>
      </rPr>
      <t xml:space="preserve">off </t>
    </r>
    <r>
      <rPr>
        <i/>
        <sz val="9"/>
        <color rgb="FF808080"/>
        <rFont val="Noto Sans CJK SC"/>
        <family val="2"/>
      </rPr>
      <t xml:space="preserve">高 </t>
    </r>
    <r>
      <rPr>
        <i/>
        <sz val="9"/>
        <color rgb="FF808080"/>
        <rFont val="Arial"/>
        <family val="2"/>
      </rPr>
      <t>2.0%</t>
    </r>
    <r>
      <rPr>
        <i/>
        <sz val="9"/>
        <color rgb="FF808080"/>
        <rFont val="Noto Sans CJK SC"/>
        <family val="2"/>
      </rPr>
      <t xml:space="preserve">，遠低於 </t>
    </r>
    <r>
      <rPr>
        <i/>
        <sz val="9"/>
        <color rgb="FF808080"/>
        <rFont val="Arial"/>
        <family val="2"/>
      </rPr>
      <t xml:space="preserve">15% </t>
    </r>
    <r>
      <rPr>
        <i/>
        <sz val="9"/>
        <color rgb="FF808080"/>
        <rFont val="Noto Sans CJK SC"/>
        <family val="2"/>
      </rPr>
      <t>門檻</t>
    </r>
  </si>
  <si>
    <r>
      <rPr>
        <sz val="10"/>
        <rFont val="Noto Sans CJK SC"/>
        <family val="2"/>
      </rPr>
      <t>低信心</t>
    </r>
    <r>
      <rPr>
        <sz val="10"/>
        <rFont val="Arial"/>
        <family val="2"/>
      </rPr>
      <t>(&lt;0.5)</t>
    </r>
    <r>
      <rPr>
        <sz val="10"/>
        <rFont val="Noto Sans CJK SC"/>
        <family val="2"/>
      </rPr>
      <t>比例</t>
    </r>
  </si>
  <si>
    <r>
      <rPr>
        <i/>
        <sz val="9"/>
        <color rgb="FF808080"/>
        <rFont val="Arial"/>
        <family val="2"/>
      </rPr>
      <t xml:space="preserve">off </t>
    </r>
    <r>
      <rPr>
        <i/>
        <sz val="9"/>
        <color rgb="FF808080"/>
        <rFont val="Noto Sans CJK SC"/>
        <family val="2"/>
      </rPr>
      <t>反而略低（更好）</t>
    </r>
  </si>
  <si>
    <r>
      <rPr>
        <sz val="10"/>
        <rFont val="Arial"/>
        <family val="2"/>
      </rPr>
      <t xml:space="preserve">Phase1 </t>
    </r>
    <r>
      <rPr>
        <sz val="10"/>
        <rFont val="Noto Sans CJK SC"/>
        <family val="2"/>
      </rPr>
      <t>擷取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秒，共用</t>
    </r>
    <r>
      <rPr>
        <sz val="10"/>
        <rFont val="Arial"/>
        <family val="2"/>
      </rPr>
      <t>)</t>
    </r>
  </si>
  <si>
    <t>兩版本共用，無差異</t>
  </si>
  <si>
    <r>
      <rPr>
        <sz val="10"/>
        <rFont val="Arial"/>
        <family val="2"/>
      </rPr>
      <t xml:space="preserve">Phase2 </t>
    </r>
    <r>
      <rPr>
        <sz val="10"/>
        <rFont val="Noto Sans CJK SC"/>
        <family val="2"/>
      </rPr>
      <t>前處理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秒</t>
    </r>
    <r>
      <rPr>
        <sz val="10"/>
        <rFont val="Arial"/>
        <family val="2"/>
      </rPr>
      <t>)</t>
    </r>
  </si>
  <si>
    <r>
      <rPr>
        <i/>
        <sz val="9"/>
        <color rgb="FF808080"/>
        <rFont val="Arial"/>
        <family val="2"/>
      </rPr>
      <t xml:space="preserve">on </t>
    </r>
    <r>
      <rPr>
        <i/>
        <sz val="9"/>
        <color rgb="FF808080"/>
        <rFont val="Noto Sans CJK SC"/>
        <family val="2"/>
      </rPr>
      <t xml:space="preserve">是 </t>
    </r>
    <r>
      <rPr>
        <i/>
        <sz val="9"/>
        <color rgb="FF808080"/>
        <rFont val="Arial"/>
        <family val="2"/>
      </rPr>
      <t xml:space="preserve">off </t>
    </r>
    <r>
      <rPr>
        <i/>
        <sz val="9"/>
        <color rgb="FF808080"/>
        <rFont val="Noto Sans CJK SC"/>
        <family val="2"/>
      </rPr>
      <t>的倍數</t>
    </r>
  </si>
  <si>
    <r>
      <rPr>
        <sz val="10"/>
        <rFont val="Arial"/>
        <family val="2"/>
      </rPr>
      <t>Phase3 OCR(</t>
    </r>
    <r>
      <rPr>
        <sz val="10"/>
        <rFont val="Noto Sans CJK SC"/>
        <family val="2"/>
      </rPr>
      <t>秒</t>
    </r>
    <r>
      <rPr>
        <sz val="10"/>
        <rFont val="Arial"/>
        <family val="2"/>
      </rPr>
      <t>)</t>
    </r>
  </si>
  <si>
    <r>
      <rPr>
        <i/>
        <sz val="9"/>
        <color rgb="FF808080"/>
        <rFont val="Noto Sans CJK SC"/>
        <family val="2"/>
      </rPr>
      <t>幾乎相同，</t>
    </r>
    <r>
      <rPr>
        <i/>
        <sz val="9"/>
        <color rgb="FF808080"/>
        <rFont val="Arial"/>
        <family val="2"/>
      </rPr>
      <t>OCR</t>
    </r>
    <r>
      <rPr>
        <i/>
        <sz val="9"/>
        <color rgb="FF808080"/>
        <rFont val="Noto Sans CJK SC"/>
        <family val="2"/>
      </rPr>
      <t>本身不受前處理影響</t>
    </r>
  </si>
  <si>
    <r>
      <rPr>
        <sz val="10"/>
        <rFont val="Noto Sans CJK SC"/>
        <family val="2"/>
      </rPr>
      <t xml:space="preserve">總時間 </t>
    </r>
    <r>
      <rPr>
        <sz val="10"/>
        <rFont val="Arial"/>
        <family val="2"/>
      </rPr>
      <t>P1+P2+P3(</t>
    </r>
    <r>
      <rPr>
        <sz val="10"/>
        <rFont val="Noto Sans CJK SC"/>
        <family val="2"/>
      </rPr>
      <t>秒</t>
    </r>
    <r>
      <rPr>
        <sz val="10"/>
        <rFont val="Arial"/>
        <family val="2"/>
      </rPr>
      <t>)</t>
    </r>
  </si>
  <si>
    <r>
      <rPr>
        <i/>
        <sz val="9"/>
        <color rgb="FF808080"/>
        <rFont val="Arial"/>
        <family val="2"/>
      </rPr>
      <t xml:space="preserve">off </t>
    </r>
    <r>
      <rPr>
        <i/>
        <sz val="9"/>
        <color rgb="FF808080"/>
        <rFont val="Noto Sans CJK SC"/>
        <family val="2"/>
      </rPr>
      <t xml:space="preserve">整體快 </t>
    </r>
    <r>
      <rPr>
        <i/>
        <sz val="9"/>
        <color rgb="FF808080"/>
        <rFont val="Arial"/>
        <family val="2"/>
      </rPr>
      <t>31.2%</t>
    </r>
  </si>
  <si>
    <r>
      <rPr>
        <sz val="10"/>
        <rFont val="Noto Sans CJK SC"/>
        <family val="2"/>
      </rPr>
      <t>逐影格文字集合完全相同比例（</t>
    </r>
    <r>
      <rPr>
        <sz val="10"/>
        <rFont val="Arial"/>
        <family val="2"/>
      </rPr>
      <t>605</t>
    </r>
    <r>
      <rPr>
        <sz val="10"/>
        <rFont val="Noto Sans CJK SC"/>
        <family val="2"/>
      </rPr>
      <t>個共同影格）</t>
    </r>
  </si>
  <si>
    <r>
      <rPr>
        <sz val="10"/>
        <rFont val="Arial"/>
        <family val="2"/>
      </rPr>
      <t xml:space="preserve">denoise_off </t>
    </r>
    <r>
      <rPr>
        <sz val="10"/>
        <rFont val="Noto Sans CJK SC"/>
        <family val="2"/>
      </rPr>
      <t>額外抓到文字的影格數</t>
    </r>
  </si>
  <si>
    <r>
      <rPr>
        <sz val="10"/>
        <rFont val="Arial"/>
        <family val="2"/>
      </rPr>
      <t xml:space="preserve">denoise_on </t>
    </r>
    <r>
      <rPr>
        <sz val="10"/>
        <rFont val="Noto Sans CJK SC"/>
        <family val="2"/>
      </rPr>
      <t>額外抓到文字的影格數</t>
    </r>
  </si>
  <si>
    <r>
      <rPr>
        <i/>
        <sz val="9"/>
        <color rgb="FF808080"/>
        <rFont val="Arial"/>
        <family val="2"/>
      </rPr>
      <t xml:space="preserve">→ off </t>
    </r>
    <r>
      <rPr>
        <i/>
        <sz val="9"/>
        <color rgb="FF808080"/>
        <rFont val="Noto Sans CJK SC"/>
        <family val="2"/>
      </rPr>
      <t xml:space="preserve">反而比 </t>
    </r>
    <r>
      <rPr>
        <i/>
        <sz val="9"/>
        <color rgb="FF808080"/>
        <rFont val="Arial"/>
        <family val="2"/>
      </rPr>
      <t xml:space="preserve">on </t>
    </r>
    <r>
      <rPr>
        <i/>
        <sz val="9"/>
        <color rgb="FF808080"/>
        <rFont val="Noto Sans CJK SC"/>
        <family val="2"/>
      </rPr>
      <t>多抓到額外文字的影格更多，方向不一致，</t>
    </r>
    <r>
      <rPr>
        <i/>
        <sz val="9"/>
        <color rgb="FF808080"/>
        <rFont val="Arial"/>
        <family val="2"/>
      </rPr>
      <t xml:space="preserve">denoise </t>
    </r>
    <r>
      <rPr>
        <i/>
        <sz val="9"/>
        <color rgb="FF808080"/>
        <rFont val="Noto Sans CJK SC"/>
        <family val="2"/>
      </rPr>
      <t>未穩定提升辨識細節</t>
    </r>
  </si>
  <si>
    <r>
      <rPr>
        <b/>
        <sz val="10"/>
        <rFont val="Noto Sans CJK SC"/>
        <family val="2"/>
      </rPr>
      <t>二、本次最終測試（</t>
    </r>
    <r>
      <rPr>
        <b/>
        <sz val="10"/>
        <rFont val="Arial"/>
        <family val="2"/>
      </rPr>
      <t>denoise on</t>
    </r>
    <r>
      <rPr>
        <b/>
        <sz val="10"/>
        <rFont val="Noto Sans CJK SC"/>
        <family val="2"/>
      </rPr>
      <t>）：</t>
    </r>
    <r>
      <rPr>
        <b/>
        <sz val="10"/>
        <rFont val="Arial"/>
        <family val="2"/>
      </rPr>
      <t xml:space="preserve">Phase2 </t>
    </r>
    <r>
      <rPr>
        <b/>
        <sz val="10"/>
        <rFont val="Noto Sans CJK SC"/>
        <family val="2"/>
      </rPr>
      <t>佔總管線耗時比例佐證</t>
    </r>
  </si>
  <si>
    <t>影片</t>
  </si>
  <si>
    <r>
      <rPr>
        <b/>
        <sz val="10"/>
        <color rgb="FFFFFFFF"/>
        <rFont val="Arial"/>
        <family val="2"/>
      </rPr>
      <t>Phase2</t>
    </r>
    <r>
      <rPr>
        <b/>
        <sz val="10"/>
        <color rgb="FFFFFFFF"/>
        <rFont val="Noto Sans CJK SC"/>
        <family val="2"/>
      </rPr>
      <t>耗時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</si>
  <si>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共用階段總耗時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</si>
  <si>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Phase2</t>
    </r>
    <r>
      <rPr>
        <b/>
        <sz val="10"/>
        <color rgb="FFFFFFFF"/>
        <rFont val="Noto Sans CJK SC"/>
        <family val="2"/>
      </rPr>
      <t>佔比</t>
    </r>
  </si>
  <si>
    <t>結論</t>
  </si>
  <si>
    <r>
      <rPr>
        <sz val="10"/>
        <rFont val="Arial"/>
        <family val="2"/>
      </rPr>
      <t xml:space="preserve">denoise </t>
    </r>
    <r>
      <rPr>
        <sz val="10"/>
        <rFont val="Noto Sans CJK SC"/>
        <family val="2"/>
      </rPr>
      <t xml:space="preserve">對辨識率的實測提升僅約 </t>
    </r>
    <r>
      <rPr>
        <sz val="10"/>
        <rFont val="Arial"/>
        <family val="2"/>
      </rPr>
      <t>2.0%</t>
    </r>
    <r>
      <rPr>
        <sz val="10"/>
        <rFont val="Noto Sans CJK SC"/>
        <family val="2"/>
      </rPr>
      <t xml:space="preserve">（信心分數 </t>
    </r>
    <r>
      <rPr>
        <sz val="10"/>
        <rFont val="Arial"/>
        <family val="2"/>
      </rPr>
      <t>proxy</t>
    </r>
    <r>
      <rPr>
        <sz val="10"/>
        <rFont val="Noto Sans CJK SC"/>
        <family val="2"/>
      </rPr>
      <t>），且偵測數量、低信心比例、逐影格文字集合等多項指標方向並不一致支持「</t>
    </r>
    <r>
      <rPr>
        <sz val="10"/>
        <rFont val="Arial"/>
        <family val="2"/>
      </rPr>
      <t xml:space="preserve">on </t>
    </r>
    <r>
      <rPr>
        <sz val="10"/>
        <rFont val="Noto Sans CJK SC"/>
        <family val="2"/>
      </rPr>
      <t xml:space="preserve">較好」，遠低於使用者自訂的 </t>
    </r>
    <r>
      <rPr>
        <sz val="10"/>
        <rFont val="Arial"/>
        <family val="2"/>
      </rPr>
      <t xml:space="preserve">15% </t>
    </r>
    <r>
      <rPr>
        <sz val="10"/>
        <rFont val="Noto Sans CJK SC"/>
        <family val="2"/>
      </rPr>
      <t xml:space="preserve">門檻；反而總處理時間因此多花 </t>
    </r>
    <r>
      <rPr>
        <sz val="10"/>
        <rFont val="Arial"/>
        <family val="2"/>
      </rPr>
      <t>31.2%</t>
    </r>
    <r>
      <rPr>
        <sz val="10"/>
        <rFont val="Noto Sans CJK SC"/>
        <family val="2"/>
      </rPr>
      <t xml:space="preserve">。本次最終測試中 </t>
    </r>
    <r>
      <rPr>
        <sz val="10"/>
        <rFont val="Arial"/>
        <family val="2"/>
      </rPr>
      <t xml:space="preserve">Phase2 </t>
    </r>
    <r>
      <rPr>
        <sz val="10"/>
        <rFont val="Noto Sans CJK SC"/>
        <family val="2"/>
      </rPr>
      <t xml:space="preserve">也佔了共用階段耗時的 </t>
    </r>
    <r>
      <rPr>
        <sz val="10"/>
        <rFont val="Arial"/>
        <family val="2"/>
      </rPr>
      <t>32%</t>
    </r>
    <r>
      <rPr>
        <sz val="10"/>
        <rFont val="Noto Sans CJK SC"/>
        <family val="2"/>
      </rPr>
      <t>～</t>
    </r>
    <r>
      <rPr>
        <sz val="10"/>
        <rFont val="Arial"/>
        <family val="2"/>
      </rPr>
      <t>37%</t>
    </r>
    <r>
      <rPr>
        <sz val="10"/>
        <rFont val="Noto Sans CJK SC"/>
        <family val="2"/>
      </rPr>
      <t xml:space="preserve">。綜合真實 </t>
    </r>
    <r>
      <rPr>
        <sz val="10"/>
        <rFont val="Arial"/>
        <family val="2"/>
      </rPr>
      <t xml:space="preserve">A/B </t>
    </r>
    <r>
      <rPr>
        <sz val="10"/>
        <rFont val="Noto Sans CJK SC"/>
        <family val="2"/>
      </rPr>
      <t xml:space="preserve">數據與門檻規則：建議 </t>
    </r>
    <r>
      <rPr>
        <sz val="10"/>
        <rFont val="Arial"/>
        <family val="2"/>
      </rPr>
      <t xml:space="preserve">denoise </t>
    </r>
    <r>
      <rPr>
        <sz val="10"/>
        <rFont val="Noto Sans CJK SC"/>
        <family val="2"/>
      </rPr>
      <t>預設關閉。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</si>
</sst>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0\x"/>
  </numFmts>
  <fonts count="16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4"/>
      <color rgb="FF1F4E78"/>
      <name val="Noto Sans CJK SC"/>
      <family val="2"/>
    </font>
    <font>
      <sz val="9"/>
      <name val="細明體"/>
      <family val="3"/>
      <charset val="136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Noto Sans CJK SC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1" xfId="0" applyFont="1" applyBorder="1"/>
    <xf numFmtId="176" fontId="12" fillId="0" borderId="1" xfId="0" applyNumberFormat="1" applyFont="1" applyBorder="1"/>
    <xf numFmtId="0" fontId="13" fillId="0" borderId="1" xfId="0" applyFont="1" applyBorder="1"/>
    <xf numFmtId="2" fontId="12" fillId="0" borderId="1" xfId="0" applyNumberFormat="1" applyFont="1" applyBorder="1"/>
    <xf numFmtId="0" fontId="15" fillId="0" borderId="1" xfId="0" applyFont="1" applyBorder="1"/>
    <xf numFmtId="0" fontId="14" fillId="0" borderId="1" xfId="0" applyFont="1" applyBorder="1"/>
    <xf numFmtId="177" fontId="12" fillId="0" borderId="1" xfId="0" applyNumberFormat="1" applyFont="1" applyBorder="1"/>
    <xf numFmtId="0" fontId="10" fillId="0" borderId="0" xfId="0" applyFont="1"/>
    <xf numFmtId="176" fontId="11" fillId="0" borderId="0" xfId="0" applyNumberFormat="1" applyFont="1"/>
    <xf numFmtId="0" fontId="15" fillId="0" borderId="0" xfId="0" applyFont="1"/>
    <xf numFmtId="0" fontId="11" fillId="0" borderId="0" xfId="0" applyFont="1"/>
    <xf numFmtId="0" fontId="13" fillId="0" borderId="0" xfId="0" applyFont="1" applyBorder="1"/>
    <xf numFmtId="0" fontId="12" fillId="0" borderId="1" xfId="0" applyFont="1" applyBorder="1"/>
    <xf numFmtId="0" fontId="6" fillId="0" borderId="0" xfId="0" applyFont="1"/>
    <xf numFmtId="0" fontId="15" fillId="0" borderId="0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duation-Project/finaltest/Phase9_&#36890;&#36947;&#33287;denoise&#26368;&#32066;&#27770;&#31574;&#20998;&#26512;_&#35079;&#26680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最終決策"/>
      <sheetName val="原始數據"/>
      <sheetName val="Channel1四引擎比較"/>
      <sheetName val="Channel2與Channel3成本效益"/>
      <sheetName val="Denoise開關評估"/>
    </sheetNames>
    <sheetDataSet>
      <sheetData sheetId="0"/>
      <sheetData sheetId="1">
        <row r="5">
          <cell r="A5" t="str">
            <v>01.mkv</v>
          </cell>
          <cell r="D5">
            <v>29.69</v>
          </cell>
          <cell r="E5">
            <v>145.19</v>
          </cell>
          <cell r="F5">
            <v>0</v>
          </cell>
          <cell r="G5">
            <v>273.60000000000002</v>
          </cell>
        </row>
        <row r="11">
          <cell r="A11" t="str">
            <v>02.mp4</v>
          </cell>
          <cell r="D11">
            <v>92.57</v>
          </cell>
          <cell r="E11">
            <v>282.83</v>
          </cell>
          <cell r="F11">
            <v>0</v>
          </cell>
          <cell r="G11">
            <v>385.18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5"/>
  <sheetViews>
    <sheetView showGridLines="0" tabSelected="1" zoomScale="130" zoomScaleNormal="130" workbookViewId="0"/>
  </sheetViews>
  <sheetFormatPr defaultColWidth="8.6640625" defaultRowHeight="14.4"/>
  <cols>
    <col min="1" max="1" width="52" customWidth="1"/>
    <col min="2" max="2" width="14" customWidth="1"/>
    <col min="3" max="3" width="16" customWidth="1"/>
    <col min="4" max="4" width="12" customWidth="1"/>
    <col min="5" max="5" width="45" customWidth="1"/>
  </cols>
  <sheetData>
    <row r="1" spans="1:6" ht="17.399999999999999">
      <c r="A1" s="1" t="s">
        <v>0</v>
      </c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4" t="s">
        <v>3</v>
      </c>
      <c r="B5" s="5" t="s">
        <v>4</v>
      </c>
      <c r="C5" s="5" t="s">
        <v>5</v>
      </c>
      <c r="D5" s="4" t="s">
        <v>6</v>
      </c>
      <c r="E5" s="4" t="s">
        <v>7</v>
      </c>
    </row>
    <row r="6" spans="1:6">
      <c r="A6" s="6" t="s">
        <v>8</v>
      </c>
      <c r="B6" s="7">
        <v>3326</v>
      </c>
      <c r="C6" s="7">
        <v>3347</v>
      </c>
      <c r="D6" s="8">
        <f>(C6-B6)/B6</f>
        <v>6.313890559230307E-3</v>
      </c>
      <c r="E6" s="9" t="s">
        <v>9</v>
      </c>
    </row>
    <row r="7" spans="1:6">
      <c r="A7" s="6" t="s">
        <v>10</v>
      </c>
      <c r="B7" s="7">
        <v>0.87</v>
      </c>
      <c r="C7" s="7">
        <v>0.85299999999999998</v>
      </c>
      <c r="D7" s="8">
        <f>(B7-C7)/C7</f>
        <v>1.9929660023446677E-2</v>
      </c>
      <c r="E7" s="9" t="s">
        <v>11</v>
      </c>
    </row>
    <row r="8" spans="1:6">
      <c r="A8" s="6" t="s">
        <v>12</v>
      </c>
      <c r="B8" s="7">
        <v>8.5699999999999998E-2</v>
      </c>
      <c r="C8" s="7">
        <v>8.1299999999999997E-2</v>
      </c>
      <c r="D8" s="10">
        <f>B8-C8</f>
        <v>4.4000000000000011E-3</v>
      </c>
      <c r="E8" s="9" t="s">
        <v>13</v>
      </c>
    </row>
    <row r="9" spans="1:6">
      <c r="A9" s="11" t="s">
        <v>14</v>
      </c>
      <c r="B9" s="7">
        <v>27.85</v>
      </c>
      <c r="C9" s="7">
        <v>27.85</v>
      </c>
      <c r="D9" s="10">
        <f>B9-C9</f>
        <v>0</v>
      </c>
      <c r="E9" s="12" t="s">
        <v>15</v>
      </c>
    </row>
    <row r="10" spans="1:6">
      <c r="A10" s="11" t="s">
        <v>16</v>
      </c>
      <c r="B10" s="7">
        <v>122.82</v>
      </c>
      <c r="C10" s="7">
        <v>11.85</v>
      </c>
      <c r="D10" s="13">
        <f>B10/C10</f>
        <v>10.364556962025317</v>
      </c>
      <c r="E10" s="9" t="s">
        <v>17</v>
      </c>
    </row>
    <row r="11" spans="1:6">
      <c r="A11" s="11" t="s">
        <v>18</v>
      </c>
      <c r="B11" s="7">
        <v>206.83</v>
      </c>
      <c r="C11" s="7">
        <v>206.32</v>
      </c>
      <c r="D11" s="8">
        <f>(B11-C11)/C11</f>
        <v>2.4718883288097097E-3</v>
      </c>
      <c r="E11" s="12" t="s">
        <v>19</v>
      </c>
    </row>
    <row r="12" spans="1:6">
      <c r="A12" s="6" t="s">
        <v>20</v>
      </c>
      <c r="B12" s="7">
        <v>357.5</v>
      </c>
      <c r="C12" s="7">
        <v>246.02</v>
      </c>
      <c r="D12" s="8">
        <f>(B12-C12)/B12</f>
        <v>0.31183216783216783</v>
      </c>
      <c r="E12" s="9" t="s">
        <v>21</v>
      </c>
    </row>
    <row r="14" spans="1:6">
      <c r="A14" s="14" t="s">
        <v>22</v>
      </c>
      <c r="B14" s="15">
        <v>0.182</v>
      </c>
    </row>
    <row r="15" spans="1:6">
      <c r="A15" s="16" t="s">
        <v>23</v>
      </c>
      <c r="B15" s="17">
        <v>116</v>
      </c>
    </row>
    <row r="16" spans="1:6">
      <c r="A16" s="16" t="s">
        <v>24</v>
      </c>
      <c r="B16" s="17">
        <v>77</v>
      </c>
    </row>
    <row r="17" spans="1:5">
      <c r="A17" s="18" t="s">
        <v>25</v>
      </c>
      <c r="B17" s="18"/>
      <c r="C17" s="18"/>
      <c r="D17" s="18"/>
      <c r="E17" s="18"/>
    </row>
    <row r="19" spans="1:5">
      <c r="A19" s="3" t="s">
        <v>26</v>
      </c>
      <c r="B19" s="3"/>
      <c r="C19" s="3"/>
      <c r="D19" s="3"/>
      <c r="E19" s="3"/>
    </row>
    <row r="20" spans="1:5" ht="26.4">
      <c r="A20" s="4" t="s">
        <v>27</v>
      </c>
      <c r="B20" s="5" t="s">
        <v>28</v>
      </c>
      <c r="C20" s="4" t="s">
        <v>29</v>
      </c>
      <c r="D20" s="5" t="s">
        <v>30</v>
      </c>
    </row>
    <row r="21" spans="1:5">
      <c r="A21" s="19" t="str">
        <f>[1]原始數據!A5</f>
        <v>01.mkv</v>
      </c>
      <c r="B21" s="19">
        <f>[1]原始數據!E5</f>
        <v>145.19</v>
      </c>
      <c r="C21" s="19">
        <f>[1]原始數據!D5+[1]原始數據!E5+[1]原始數據!F5+[1]原始數據!G5</f>
        <v>448.48</v>
      </c>
      <c r="D21" s="8">
        <f>B21/C21</f>
        <v>0.32373795932929</v>
      </c>
    </row>
    <row r="22" spans="1:5">
      <c r="A22" s="19" t="str">
        <f>[1]原始數據!A11</f>
        <v>02.mp4</v>
      </c>
      <c r="B22" s="19">
        <f>[1]原始數據!E11</f>
        <v>282.83</v>
      </c>
      <c r="C22" s="19">
        <f>[1]原始數據!D11+[1]原始數據!E11+[1]原始數據!F11+[1]原始數據!G11</f>
        <v>760.57999999999993</v>
      </c>
      <c r="D22" s="8">
        <f>B22/C22</f>
        <v>0.37186094822372401</v>
      </c>
    </row>
    <row r="24" spans="1:5">
      <c r="A24" s="20" t="s">
        <v>31</v>
      </c>
    </row>
    <row r="25" spans="1:5" ht="60" customHeight="1">
      <c r="A25" s="21" t="s">
        <v>32</v>
      </c>
      <c r="B25" s="21"/>
      <c r="C25" s="21"/>
      <c r="D25" s="21"/>
      <c r="E25" s="21"/>
    </row>
  </sheetData>
  <mergeCells count="5">
    <mergeCell ref="A2:F2"/>
    <mergeCell ref="A4:F4"/>
    <mergeCell ref="A17:E17"/>
    <mergeCell ref="A19:E19"/>
    <mergeCell ref="A25:E25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Denoise開關評估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2026-10-11T07:18:48Z</dcterms:created>
  <dcterms:modified xsi:type="dcterms:W3CDTF">2026-10-11T07:20:06Z</dcterms:modified>
</cp:coreProperties>
</file>